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29.jpeg" ContentType="image/jpeg"/>
  <Override PartName="/xl/media/image7.jpeg" ContentType="image/jpeg"/>
  <Override PartName="/xl/media/image28.jpeg" ContentType="image/jpeg"/>
  <Override PartName="/xl/media/image6.jpeg" ContentType="image/jpeg"/>
  <Override PartName="/xl/media/image27.jpeg" ContentType="image/jpeg"/>
  <Override PartName="/xl/media/image5.jpeg" ContentType="image/jpeg"/>
  <Override PartName="/xl/media/image26.jpeg" ContentType="image/jpeg"/>
  <Override PartName="/xl/media/image4.jpeg" ContentType="image/jpeg"/>
  <Override PartName="/xl/media/image25.jpeg" ContentType="image/jpeg"/>
  <Override PartName="/xl/media/image3.jpeg" ContentType="image/jpeg"/>
  <Override PartName="/xl/media/image24.jpeg" ContentType="image/jpeg"/>
  <Override PartName="/xl/media/image2.jpeg" ContentType="image/jpeg"/>
  <Override PartName="/xl/media/image23.jpeg" ContentType="image/jpeg"/>
  <Override PartName="/xl/media/image1.jpeg" ContentType="image/jpeg"/>
  <Override PartName="/xl/media/image22.jpeg" ContentType="image/jpeg"/>
  <Override PartName="/xl/media/image21.jpeg" ContentType="image/jpeg"/>
  <Override PartName="/xl/media/image19.jpeg" ContentType="image/jpeg"/>
  <Override PartName="/xl/media/image20.jpeg" ContentType="image/jpeg"/>
  <Override PartName="/xl/media/image18.jpeg" ContentType="image/jpeg"/>
  <Override PartName="/xl/media/image17.jpeg" ContentType="image/jpeg"/>
  <Override PartName="/xl/media/image16.jpeg" ContentType="image/jpeg"/>
  <Override PartName="/xl/media/image35.jpeg" ContentType="image/jpeg"/>
  <Override PartName="/xl/media/image36.jpeg" ContentType="image/jpeg"/>
  <Override PartName="/xl/media/image37.jpeg" ContentType="image/jpeg"/>
  <Override PartName="/xl/media/image38.jpeg" ContentType="image/jpeg"/>
  <Override PartName="/xl/media/image40.jpeg" ContentType="image/jpeg"/>
  <Override PartName="/xl/media/image41.jpeg" ContentType="image/jpeg"/>
  <Override PartName="/xl/media/image39.jpeg" ContentType="image/jpeg"/>
  <Override PartName="/xl/media/image42.jpeg" ContentType="image/jpeg"/>
  <Override PartName="/xl/media/image43.jpeg" ContentType="image/jpeg"/>
  <Override PartName="/xl/media/image44.jpeg" ContentType="image/jpeg"/>
  <Override PartName="/xl/media/image45.jpeg" ContentType="image/jpeg"/>
  <Override PartName="/xl/media/image46.jpeg" ContentType="image/jpeg"/>
  <Override PartName="/xl/media/image8.jpeg" ContentType="image/jpeg"/>
  <Override PartName="/xl/media/image50.jpeg" ContentType="image/jpeg"/>
  <Override PartName="/xl/media/image13.jpeg" ContentType="image/jpeg"/>
  <Override PartName="/xl/media/image11.jpeg" ContentType="image/jpeg"/>
  <Override PartName="/xl/media/image48.jpeg" ContentType="image/jpeg"/>
  <Override PartName="/xl/media/image34.jpeg" ContentType="image/jpeg"/>
  <Override PartName="/xl/media/image33.jpeg" ContentType="image/jpeg"/>
  <Override PartName="/xl/media/image32.jpeg" ContentType="image/jpeg"/>
  <Override PartName="/xl/media/image31.jpeg" ContentType="image/jpeg"/>
  <Override PartName="/xl/media/image30.jpeg" ContentType="image/jpeg"/>
  <Override PartName="/xl/media/image9.jpeg" ContentType="image/jpeg"/>
  <Override PartName="/xl/media/image10.jpeg" ContentType="image/jpeg"/>
  <Override PartName="/xl/media/image47.jpeg" ContentType="image/jpeg"/>
  <Override PartName="/xl/media/image12.jpeg" ContentType="image/jpeg"/>
  <Override PartName="/xl/media/image49.jpeg" ContentType="image/jpeg"/>
  <Override PartName="/xl/media/image14.jpeg" ContentType="image/jpeg"/>
  <Override PartName="/xl/media/image15.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p 50" sheetId="1" state="visible" r:id="rId3"/>
    <sheet name="Our target" sheetId="2" state="visible" r:id="rId4"/>
    <sheet name="Category summary" sheetId="3" state="visible" r:id="rId5"/>
    <sheet name="Method &amp; caveats" sheetId="4" state="visible" r:id="rId6"/>
  </sheets>
  <definedNames>
    <definedName function="false" hidden="true" localSheetId="1" name="_xlnm._FilterDatabase" vbProcedure="false">'Our target'!$A$1:$I$51</definedName>
    <definedName function="false" hidden="true" localSheetId="0" name="_xlnm._FilterDatabase" vbProcedure="false">'Top 50'!$A$1:$Q$51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<sst xmlns="http://schemas.openxmlformats.org/spreadsheetml/2006/main" count="744" uniqueCount="435">
  <si>
    <t xml:space="preserve">Rank</t>
  </si>
  <si>
    <t xml:space="preserve">Image</t>
  </si>
  <si>
    <t xml:space="preserve">Product name</t>
  </si>
  <si>
    <t xml:space="preserve">Category</t>
  </si>
  <si>
    <t xml:space="preserve">Material (as stated)</t>
  </si>
  <si>
    <t xml:space="preserve">Seller / Brand</t>
  </si>
  <si>
    <t xml:space="preserve">Channel</t>
  </si>
  <si>
    <t xml:space="preserve">Current price (USD)</t>
  </si>
  <si>
    <t xml:space="preserve">Sale / list price (USD)</t>
  </si>
  <si>
    <t xml:space="preserve">Size / dimensions (as stated)</t>
  </si>
  <si>
    <t xml:space="preserve">Rating (of 5)</t>
  </si>
  <si>
    <t xml:space="preserve">Review count</t>
  </si>
  <si>
    <t xml:space="preserve">Best-seller proxy (type + value)</t>
  </si>
  <si>
    <t xml:space="preserve">Product URL</t>
  </si>
  <si>
    <t xml:space="preserve">Image URL</t>
  </si>
  <si>
    <t xml:space="preserve">Fetched at</t>
  </si>
  <si>
    <t xml:space="preserve">Status / notes</t>
  </si>
  <si>
    <t xml:space="preserve">Everett Long Wood Foyer Table</t>
  </si>
  <si>
    <t xml:space="preserve">Console table</t>
  </si>
  <si>
    <t xml:space="preserve">Acacia, pine, MDF, plywood and veneer</t>
  </si>
  <si>
    <t xml:space="preserve">World Market</t>
  </si>
  <si>
    <t xml:space="preserve">71"W x 16"D x 32"H, 65 lb</t>
  </si>
  <si>
    <t xml:space="preserve">[Tier A] 718 reviews, 4.8 avg; World Market 'Top Sellers' sort #1 for search 'wood console table'</t>
  </si>
  <si>
    <t xml:space="preserve">https://www.worldmarket.com/p/everett-long-wood-foyer-table-129713.html</t>
  </si>
  <si>
    <t xml:space="preserve">https://www.worldmarket.com/on/demandware.static/-/Sites-wm-master-catalog/default/dw17f31133/images/large/129713_weatherednatural_v1.jpg?sw=400&amp;sh=400&amp;sm=fit&amp;sfrm=jpg&amp;q=80</t>
  </si>
  <si>
    <t xml:space="preserve">2026-09-25 09:42 UTC</t>
  </si>
  <si>
    <t xml:space="preserve">OK | mixed/engineered construction; volume benchmark</t>
  </si>
  <si>
    <t xml:space="preserve">Chloe Wood Side Table</t>
  </si>
  <si>
    <t xml:space="preserve">Side / end table</t>
  </si>
  <si>
    <t xml:space="preserve">Rubberwood</t>
  </si>
  <si>
    <t xml:space="preserve">12" sq x 24"H, 13.2 lb</t>
  </si>
  <si>
    <t xml:space="preserve">[Tier A] 413 reviews, 4.7 avg; World Market 'Top Sellers' sort #5 for search 'wood side table'; product copy says 'a World Market bestseller'</t>
  </si>
  <si>
    <t xml:space="preserve">https://www.worldmarket.com/p/chloe-wood-side-table-128427.html</t>
  </si>
  <si>
    <t xml:space="preserve">https://www.worldmarket.com/on/demandware.static/-/Sites-wm-master-catalog/default/dw9d25bc33/images/large/128427_mahogony_v1.jpg?sw=400&amp;sh=400&amp;sm=fit&amp;sfrm=jpg&amp;q=80</t>
  </si>
  <si>
    <t xml:space="preserve">OK | not carved / not Indian-style; volume benchmark for budget end tables</t>
  </si>
  <si>
    <t xml:space="preserve">Augustus Wood Library Bookshelf</t>
  </si>
  <si>
    <t xml:space="preserve">Bookshelf</t>
  </si>
  <si>
    <t xml:space="preserve">Rubber wood and veneer</t>
  </si>
  <si>
    <t xml:space="preserve">47"W x 17.5"D x 90"H, 199 lb</t>
  </si>
  <si>
    <t xml:space="preserve">[Tier A] 221 reviews, 4.4 avg; World Market 'Top Sellers' sort #3 for search 'wood bookshelf'</t>
  </si>
  <si>
    <t xml:space="preserve">https://www.worldmarket.com/p/augustus-wood-library-bookshelf-130791.html</t>
  </si>
  <si>
    <t xml:space="preserve">https://www.worldmarket.com/on/demandware.static/-/Sites-wm-master-catalog/default/dwcc8d3441/images/large/130791_roastedcocoa_v1.jpg?sw=400&amp;sh=400&amp;sm=fit&amp;sfrm=jpg&amp;q=80</t>
  </si>
  <si>
    <t xml:space="preserve">OK | not carved; volume benchmark</t>
  </si>
  <si>
    <t xml:space="preserve">Sansur Rustic Pecan Live Edge Wood Console Table</t>
  </si>
  <si>
    <t xml:space="preserve">Suar wood, composite wood, suar veneer</t>
  </si>
  <si>
    <t xml:space="preserve">58"W x 16"D x 30.1"H</t>
  </si>
  <si>
    <t xml:space="preserve">[Tier A] 145 reviews, 4.9 avg; World Market 'Top Sellers' sort #8 for search 'wood console table'</t>
  </si>
  <si>
    <t xml:space="preserve">https://www.worldmarket.com/p/sansur-rustic-pecan-live-edge-wood-console-table-565911.html</t>
  </si>
  <si>
    <t xml:space="preserve">https://www.worldmarket.com/on/demandware.static/-/Sites-wm-master-catalog/default/dw13495290/images/large/85113_XXX_v1.jpg?sw=400&amp;sh=400&amp;sm=fit&amp;sfrm=jpg&amp;q=80</t>
  </si>
  <si>
    <t xml:space="preserve">OK | tile status: out of stock | on sale (list 399.99)</t>
  </si>
  <si>
    <t xml:space="preserve">Extra Large Acacia Wood Paddle Cutting Board</t>
  </si>
  <si>
    <t xml:space="preserve">Kitchen &amp; serveware</t>
  </si>
  <si>
    <t xml:space="preserve">Acacia wood</t>
  </si>
  <si>
    <t xml:space="preserve">13.75"W x 35"L</t>
  </si>
  <si>
    <t xml:space="preserve">[Tier B] 87 reviews, 4.9 avg; World Market 'Top Sellers' sort #13 for search 'wood cutting board'</t>
  </si>
  <si>
    <t xml:space="preserve">https://www.worldmarket.com/p/extra-large-acacia-wood-paddle-cutting-board-544486.html</t>
  </si>
  <si>
    <t xml:space="preserve">https://www.worldmarket.com/on/demandware.static/-/Sites-wm-master-catalog/default/dw6910c7ec/images/large/69129_XXX_v1.jpg?sw=400&amp;sh=400&amp;sm=fit&amp;sfrm=jpg&amp;q=80</t>
  </si>
  <si>
    <t xml:space="preserve">OK</t>
  </si>
  <si>
    <t xml:space="preserve">Colette Round Wood Ottoman Tray</t>
  </si>
  <si>
    <t xml:space="preserve">Acacia wood, handcrafted in India</t>
  </si>
  <si>
    <t xml:space="preserve">24" dia x 2"H, 10 lb</t>
  </si>
  <si>
    <t xml:space="preserve">[Tier B] 64 reviews, 5.0 avg; World Market 'Top Sellers' sort #2 for search 'wood tray'</t>
  </si>
  <si>
    <t xml:space="preserve">https://www.worldmarket.com/p/colette-round-wood-ottoman-tray-125094.html</t>
  </si>
  <si>
    <t xml:space="preserve">https://www.worldmarket.com/on/demandware.static/-/Sites-wm-master-catalog/default/dwba16ec6d/images/large/125094_black_v1.jpg?sw=400&amp;sh=400&amp;sm=fit&amp;sfrm=jpg&amp;q=80</t>
  </si>
  <si>
    <t xml:space="preserve">2026-09-25 09:43 UTC</t>
  </si>
  <si>
    <t xml:space="preserve">Teakhaus Large Edge Grain Wood Trencher Cutting Board</t>
  </si>
  <si>
    <t xml:space="preserve">FSC-certified teak, edge grain</t>
  </si>
  <si>
    <t xml:space="preserve">Teakhaus (sold at World Market)</t>
  </si>
  <si>
    <t xml:space="preserve">14"W x 18"L x 0.75"H</t>
  </si>
  <si>
    <t xml:space="preserve">[Tier B] 62 reviews, 4.5 avg; World Market 'Top Sellers' sort #5 for search 'wood cutting board'</t>
  </si>
  <si>
    <t xml:space="preserve">https://www.worldmarket.com/p/teakhaus-large-edge-grain-wood-trencher-cutting-board-592151.html</t>
  </si>
  <si>
    <t xml:space="preserve">https://www.worldmarket.com/on/demandware.static/-/Sites-wm-master-catalog/default/dwf94072da/images/large/96544_XXX_v1.jpg?sw=400&amp;sh=400&amp;sm=fit&amp;sfrm=jpg&amp;q=80</t>
  </si>
  <si>
    <t xml:space="preserve">Dane Acacia Mid Century Modular Bookshelf with Cabinet</t>
  </si>
  <si>
    <t xml:space="preserve">Solid acacia wood</t>
  </si>
  <si>
    <t xml:space="preserve">39.5"W x 13.75"D x 70"H, 119 lb</t>
  </si>
  <si>
    <t xml:space="preserve">[Tier B] 60 reviews, 4.2 avg; World Market 'Top Sellers' sort #5 for search 'wood bookshelf'</t>
  </si>
  <si>
    <t xml:space="preserve">https://www.worldmarket.com/p/dane-acacia-mid-century-modular-bookshelf-with-cabinet-131794.html</t>
  </si>
  <si>
    <t xml:space="preserve">https://www.worldmarket.com/on/demandware.static/-/Sites-wm-master-catalog/default/dw719a03e5/images/large/131794_walnut_v1.jpg?sw=400&amp;sh=400&amp;sm=fit&amp;sfrm=jpg&amp;q=80</t>
  </si>
  <si>
    <t xml:space="preserve">Lansing Hazelnut Mango Wood Asymmetrical Side Table</t>
  </si>
  <si>
    <t xml:space="preserve">Handcrafted by Indian artisans; product page title says mango wood, copy/spec says acacia</t>
  </si>
  <si>
    <t xml:space="preserve">19"W x 13"D x 19"H, 24.5 lb</t>
  </si>
  <si>
    <t xml:space="preserve">[Tier B] 53 reviews, 4.8 avg; World Market 'Top Sellers' sort #1 for search 'wood side table'</t>
  </si>
  <si>
    <t xml:space="preserve">https://www.worldmarket.com/p/lansing-hazelnut-mango-wood-asymmetrical-side-table-634446.html</t>
  </si>
  <si>
    <t xml:space="preserve">https://www.worldmarket.com/on/demandware.static/-/Sites-wm-master-catalog/default/dwa54000f2/images/large/122634_XXX_v1.jpg?sw=400&amp;sh=400&amp;sm=fit&amp;sfrm=jpg&amp;q=80</t>
  </si>
  <si>
    <t xml:space="preserve">2026-09-25 09:41 UTC</t>
  </si>
  <si>
    <t xml:space="preserve">Tunisian Olive Wood Cutting Board</t>
  </si>
  <si>
    <t xml:space="preserve">Olive wood (made in Tunisia)</t>
  </si>
  <si>
    <t xml:space="preserve">~8.7"W x 15.8"L</t>
  </si>
  <si>
    <t xml:space="preserve">[Tier B] 47 reviews, 4.6 avg; World Market 'Top Sellers' sort #10 for search 'wood cutting board'</t>
  </si>
  <si>
    <t xml:space="preserve">https://www.worldmarket.com/p/tunisian-olive-wood-cutting-board-585206.html</t>
  </si>
  <si>
    <t xml:space="preserve">https://www.worldmarket.com/on/demandware.static/-/Sites-wm-master-catalog/default/dwbaa4ef9b/images/large/92688_XXX_v1.jpg?sw=400&amp;sh=400&amp;sm=fit&amp;sfrm=jpg&amp;q=80</t>
  </si>
  <si>
    <t xml:space="preserve">CRAFT Avni Arched Natural Carved Wood Floral Storage Cabinet</t>
  </si>
  <si>
    <t xml:space="preserve">Storage cabinet / chest</t>
  </si>
  <si>
    <t xml:space="preserve">Mango wood, hand-carved floral cutwork, natural finish</t>
  </si>
  <si>
    <t xml:space="preserve">32"W x 16"D x 72"H, 105 lb</t>
  </si>
  <si>
    <t xml:space="preserve">[Tier B] 43 reviews, 4.5 avg; World Market 'Top Sellers' sort #29 for search 'carved wood'</t>
  </si>
  <si>
    <t xml:space="preserve">https://www.worldmarket.com/p/craft-avni-arched-natural-carved-wood-floral-storage-cabinet-598655.html</t>
  </si>
  <si>
    <t xml:space="preserve">https://www.worldmarket.com/on/demandware.static/-/Sites-wm-master-catalog/default/dwbb8342d8/images/large/100650_XXX_v1.jpg?sw=400&amp;sh=400&amp;sm=fit&amp;sfrm=jpg&amp;q=80</t>
  </si>
  <si>
    <t xml:space="preserve">Paulownia Wood Tripod Plant Stand</t>
  </si>
  <si>
    <t xml:space="preserve">Planter / plant stand</t>
  </si>
  <si>
    <t xml:space="preserve">Paulownia wood</t>
  </si>
  <si>
    <t xml:space="preserve">11.5" dia x 5"H</t>
  </si>
  <si>
    <t xml:space="preserve">[Tier B] 40 reviews, 4.9 avg; World Market 'Top Sellers' sort #6 for search 'wood plant stand'</t>
  </si>
  <si>
    <t xml:space="preserve">https://www.worldmarket.com/p/paulownia-wood-tripod-plant-stand-607343.html</t>
  </si>
  <si>
    <t xml:space="preserve">https://www.worldmarket.com/on/demandware.static/-/Sites-wm-master-catalog/default/dw92e65f20/images/large/106976_XXX_v1.jpg?sw=400&amp;sh=400&amp;sm=fit&amp;sfrm=jpg&amp;q=80</t>
  </si>
  <si>
    <t xml:space="preserve">Mango Wood Footed Serving Tray</t>
  </si>
  <si>
    <t xml:space="preserve">Solid mango wood, burnt finish, made in India</t>
  </si>
  <si>
    <t xml:space="preserve">Medium 6"W x 12"L x 2.5"H (also large)</t>
  </si>
  <si>
    <t xml:space="preserve">[Tier B] 38 reviews, 4.9 avg; World Market 'Top Sellers' sort #28 for search 'wood tray'</t>
  </si>
  <si>
    <t xml:space="preserve">https://www.worldmarket.com/p/mango-wood-footed-serving-tray-113191.html</t>
  </si>
  <si>
    <t xml:space="preserve">https://www.worldmarket.com/on/demandware.static/-/Sites-wm-master-catalog/default/dwc98cff47/images/large/113191_XXX_v1.jpg?sw=400&amp;sh=400&amp;sm=fit&amp;sfrm=jpg&amp;q=80</t>
  </si>
  <si>
    <t xml:space="preserve">Anish Round Natural Wood Ribbed Pedestal Side Table</t>
  </si>
  <si>
    <t xml:space="preserve">Handcrafted of natural mango wood</t>
  </si>
  <si>
    <t xml:space="preserve">14" dia x 21"H, 17 lb</t>
  </si>
  <si>
    <t xml:space="preserve">[Tier B] 33 reviews, 5.0 avg; World Market 'Top Sellers' sort #7 for search 'wood side table'</t>
  </si>
  <si>
    <t xml:space="preserve">https://www.worldmarket.com/p/anish-round-natural-wood-ribbed-pedestal-side-table-635511.html</t>
  </si>
  <si>
    <t xml:space="preserve">https://www.worldmarket.com/on/demandware.static/-/Sites-wm-master-catalog/default/dwa2ce24df/images/large/122622_XXX_v1.jpg?sw=400&amp;sh=400&amp;sm=fit&amp;sfrm=jpg&amp;q=80</t>
  </si>
  <si>
    <t xml:space="preserve">CRAFT Short Teal Carved Wood Peacock Storage Cabinet</t>
  </si>
  <si>
    <t xml:space="preserve">Mango wood, hand-carved peacock, distressed teal, metal stand</t>
  </si>
  <si>
    <t xml:space="preserve">32"W x 16"D x 42"H, 77 lb</t>
  </si>
  <si>
    <t xml:space="preserve">[Tier B] 31 reviews, 4.6 avg; World Market 'Top Sellers' sort #10 for search 'carved wood'</t>
  </si>
  <si>
    <t xml:space="preserve">https://www.worldmarket.com/p/craft-short-teal-carved-wood-peacock-storage-cabinet-638915.html</t>
  </si>
  <si>
    <t xml:space="preserve">https://www.worldmarket.com/on/demandware.static/-/Sites-wm-master-catalog/default/dw56b8bb65/images/large/125084_XXX_v1.jpg?sw=400&amp;sh=400&amp;sm=fit&amp;sfrm=jpg&amp;q=80</t>
  </si>
  <si>
    <t xml:space="preserve">Thailand Acacia Wood Serving Bowl</t>
  </si>
  <si>
    <t xml:space="preserve">Acacia wood (made in Thailand)</t>
  </si>
  <si>
    <t xml:space="preserve">12" dia x 5"H</t>
  </si>
  <si>
    <t xml:space="preserve">[Tier B] 30 reviews, 4.7 avg; World Market 'Top Sellers' sort #7 for search 'wood serving bowl'</t>
  </si>
  <si>
    <t xml:space="preserve">https://www.worldmarket.com/p/thailand-acacia-wood-serving-bowl-558030.html</t>
  </si>
  <si>
    <t xml:space="preserve">https://www.worldmarket.com/on/demandware.static/-/Sites-wm-master-catalog/default/dw80243635/images/large/77838_XXX_v1.tif?sw=400&amp;sh=400&amp;sm=fit&amp;sfrm=jpg&amp;q=80</t>
  </si>
  <si>
    <t xml:space="preserve">CRAFT Multicolor Carved Wood Elephant Floor Decor</t>
  </si>
  <si>
    <t xml:space="preserve">Décor figure</t>
  </si>
  <si>
    <t xml:space="preserve">Mango wood, hand-carved &amp; hand-painted, India</t>
  </si>
  <si>
    <t xml:space="preserve">24.5"W x 9"D x 23.5"H</t>
  </si>
  <si>
    <t xml:space="preserve">[Tier B] 24 reviews, 5.0 avg; World Market 'Top Sellers' sort #16 for search 'wood side table'</t>
  </si>
  <si>
    <t xml:space="preserve">https://www.worldmarket.com/p/craft-multicolor-carved-wood-elephant-floor-decor-634762.html</t>
  </si>
  <si>
    <t xml:space="preserve">https://www.worldmarket.com/on/demandware.static/-/Sites-wm-master-catalog/default/dwfeb04c92/images/large/124485_XXX_v1.jpg?sw=400&amp;sh=400&amp;sm=fit&amp;sfrm=jpg&amp;q=80</t>
  </si>
  <si>
    <t xml:space="preserve">Brentwood Round Natural Wood Pedestal End Table</t>
  </si>
  <si>
    <t xml:space="preserve">Natural mango wood</t>
  </si>
  <si>
    <t xml:space="preserve">17" dia x 23"H, 14 lb</t>
  </si>
  <si>
    <t xml:space="preserve">[Tier B] 23 reviews, 4.9 avg; World Market 'Top Sellers' sort #3 for search 'wood side table'</t>
  </si>
  <si>
    <t xml:space="preserve">https://www.worldmarket.com/p/brentwood-round-natural-wood-pedestal-end-table-639923.html</t>
  </si>
  <si>
    <t xml:space="preserve">https://www.worldmarket.com/dw/image/v2/BJWT_PRD/on/demandware.static/-/Sites-wm-master-catalog/default/dw9e8964cf/images/large/125478_XXX_v1.jpg?sw=385&amp;sh=385&amp;sm=fit&amp;sfrm=jpg&amp;q=80</t>
  </si>
  <si>
    <t xml:space="preserve">Carved Mango Wood Group of Figures Decor</t>
  </si>
  <si>
    <t xml:space="preserve">Hand-carved mango wood, central India</t>
  </si>
  <si>
    <t xml:space="preserve">24.2"W x 3.7"D x 13.3"H</t>
  </si>
  <si>
    <t xml:space="preserve">[Tier B] 23 reviews, 5.0 avg; World Market 'Top Sellers' sort #26 for search 'mango wood'</t>
  </si>
  <si>
    <t xml:space="preserve">https://www.worldmarket.com/p/carved-mango-wood-group-of-figures-decor-591505.html</t>
  </si>
  <si>
    <t xml:space="preserve">https://www.worldmarket.com/on/demandware.static/-/Sites-wm-master-catalog/default/dw39ca1048/images/large/95893_XXX_v1.jpg?sw=400&amp;sh=400&amp;sm=fit&amp;sfrm=jpg&amp;q=80</t>
  </si>
  <si>
    <t xml:space="preserve">White Wooden Pooja Mandir with Brass Bells &amp; Doors</t>
  </si>
  <si>
    <t xml:space="preserve">Mandir / pooja unit</t>
  </si>
  <si>
    <t xml:space="preserve">Solid mango wood, hand-painted white &amp; gold (as stated)</t>
  </si>
  <si>
    <t xml:space="preserve">Urli Utsav Decor</t>
  </si>
  <si>
    <t xml:space="preserve">Urli Utsav Decor (own site)</t>
  </si>
  <si>
    <t xml:space="preserve">30 in H (as stated by seller; see page)</t>
  </si>
  <si>
    <t xml:space="preserve">[Tier B] Retailer 'Best selling' sort: #1 in /collections/wooden-pooja-mandirs-bajot-chowki-usa (sort_by=best-selling). No public rating/review count on page</t>
  </si>
  <si>
    <t xml:space="preserve">https://urliutsav.com/products/white-pooja-mandir-brass-bells</t>
  </si>
  <si>
    <t xml:space="preserve">https://cdn.shopify.com/s/files/1/0579/1534/2899/files/whitemandir-urliutsav12.jpg?v=1768770308</t>
  </si>
  <si>
    <t xml:space="preserve">2026-09-25 09:39 UTC</t>
  </si>
  <si>
    <t xml:space="preserve">5' x 2' Natural Teak Finish Mandir with doors</t>
  </si>
  <si>
    <t xml:space="preserve">Engineered wood, plywood, texture finish (as stated; "natural teak finish")</t>
  </si>
  <si>
    <t xml:space="preserve">The Mandir Store</t>
  </si>
  <si>
    <t xml:space="preserve">The Mandir Store (own site)</t>
  </si>
  <si>
    <t xml:space="preserve">5 ft x 2 ft (per title)</t>
  </si>
  <si>
    <t xml:space="preserve">[Tier B] Retailer 'Best selling' sort: #1 in /collections/pooja-mandirs (sort_by=best-selling). No public rating/review count on page</t>
  </si>
  <si>
    <t xml:space="preserve">https://themandirstore.us/products/5-x-2-natural-teak-finish-mandir-with-doors</t>
  </si>
  <si>
    <t xml:space="preserve">https://cdn.shopify.com/s/files/1/0558/5997/0197/files/image_11.png?v=1785515295</t>
  </si>
  <si>
    <t xml:space="preserve">OK | not solid wood per seller copy</t>
  </si>
  <si>
    <t xml:space="preserve">Wooden White Pooja Chowki - 18x18x6.5-Inches Gold Bajot</t>
  </si>
  <si>
    <t xml:space="preserve">Pooja stool / chowki</t>
  </si>
  <si>
    <t xml:space="preserve">Premium mango wood, hand-painted white &amp; gold</t>
  </si>
  <si>
    <t xml:space="preserve">18 x 18 x 6.5 in</t>
  </si>
  <si>
    <t xml:space="preserve">[Tier B] Retailer 'Best selling' sort: #1 in /collections/chowki-bajot-pooja-stools (sort_by=best-selling). No public rating/review count on page</t>
  </si>
  <si>
    <t xml:space="preserve">https://urliutsav.com/products/18x18x6-5-wooden-pooja-chowki-bajot</t>
  </si>
  <si>
    <t xml:space="preserve">https://cdn.shopify.com/s/files/1/0579/1534/2899/files/PureWhiteChowki-UrliUtsav-main.jpg?v=1769372415</t>
  </si>
  <si>
    <t xml:space="preserve">Hand-Painted Jharokha Mirror – 12x10 Inches, 8 Colours</t>
  </si>
  <si>
    <t xml:space="preserve">Jharokha / carved wall piece</t>
  </si>
  <si>
    <t xml:space="preserve">MDF frame with glass mirror, hand-painted (as stated)</t>
  </si>
  <si>
    <t xml:space="preserve">12" x 10" x 10 mm</t>
  </si>
  <si>
    <t xml:space="preserve">[Tier B] Retailer 'Best selling' sort: #1 in /collections/handcrafted-rajasthani-jharokha-decor (sort_by=best-selling). No public rating/review count on page</t>
  </si>
  <si>
    <t xml:space="preserve">https://urliutsav.com/products/hand-painted-jharokha-mirror-12x10</t>
  </si>
  <si>
    <t xml:space="preserve">https://cdn.shopify.com/s/files/1/0579/1534/2899/files/Jharokha-UrliUtsav-1.jpg?v=1739499307</t>
  </si>
  <si>
    <t xml:space="preserve">OK | MDF, not solid wood</t>
  </si>
  <si>
    <t xml:space="preserve">Cordoba Vintage Carved Mirror</t>
  </si>
  <si>
    <t xml:space="preserve">Carved / wooden mirror</t>
  </si>
  <si>
    <t xml:space="preserve">Solid reclaimed teak, carved frame</t>
  </si>
  <si>
    <t xml:space="preserve">World Interiors</t>
  </si>
  <si>
    <t xml:space="preserve">World Interiors (own site)</t>
  </si>
  <si>
    <t xml:space="preserve">37"W x 1.5"D x 44.5"H</t>
  </si>
  <si>
    <t xml:space="preserve">[Tier B] Retailer 'Best selling' sort: #1 in /collections/mirrors (sort_by=best-selling). No public rating/review count on page</t>
  </si>
  <si>
    <t xml:space="preserve">https://worldinteriors.com/products/cordoba-vintage-carved-mirror</t>
  </si>
  <si>
    <t xml:space="preserve">https://cdn.shopify.com/s/files/1/1871/5825/products/FIZ-MR44-1.jpg?v=1740007620</t>
  </si>
  <si>
    <t xml:space="preserve">Agra Reclaimed Wood Mirror</t>
  </si>
  <si>
    <t xml:space="preserve">Old reclaimed wood frame (floor mirror)</t>
  </si>
  <si>
    <t xml:space="preserve">Timbergirl</t>
  </si>
  <si>
    <t xml:space="preserve">Timbergirl (own site)</t>
  </si>
  <si>
    <t xml:space="preserve">60" H x 30" W (as stated)</t>
  </si>
  <si>
    <t xml:space="preserve">https://timbergirl.com/products/agra-reclaimed-wood-mirror</t>
  </si>
  <si>
    <t xml:space="preserve">https://cdn.shopify.com/s/files/1/0681/8414/6142/files/AA80000__99674.1710668117.1280.1280.jpg?v=1719700760</t>
  </si>
  <si>
    <t xml:space="preserve">OK (price shown; SOLD OUT at fetch)</t>
  </si>
  <si>
    <t xml:space="preserve">Handcrafted Reclaimed Wood Wall Mirror – Rustic Rectangular Farmhouse Décor for Bathroom, Bedroom and Entryway</t>
  </si>
  <si>
    <t xml:space="preserve">Reclaimed wood frame</t>
  </si>
  <si>
    <t xml:space="preserve">The Vintage Realm</t>
  </si>
  <si>
    <t xml:space="preserve">The Vintage Realm (own site)</t>
  </si>
  <si>
    <t xml:space="preserve">Multiple sizes (price is lowest variant)</t>
  </si>
  <si>
    <t xml:space="preserve">[Tier B] Retailer 'Best selling' sort: #1 in /collections/mirror-frames (sort_by=best-selling). No public rating/review count on page</t>
  </si>
  <si>
    <t xml:space="preserve">https://thevintagerealm.com/products/handcrafted-reclaimed-wood-wall-mirror-rustic-rectangular-farmhouse-decor-for-bathroom-bedroom-and-entryway</t>
  </si>
  <si>
    <t xml:space="preserve">https://cdn.shopify.com/s/files/1/0626/9196/7157/files/handcrafted-reclaimed-wood-wall-mirror-rustic-rectangular-farmhouse-decor-for-bathroom-bedroom-and-entrywayprod-184-01-5329572.webp?v=1787686106</t>
  </si>
  <si>
    <t xml:space="preserve">OK | price = lowest of several size variants</t>
  </si>
  <si>
    <t xml:space="preserve">Mango Wood Coffee Table</t>
  </si>
  <si>
    <t xml:space="preserve">Coffee table</t>
  </si>
  <si>
    <t xml:space="preserve">Solid mango wood, handmade</t>
  </si>
  <si>
    <t xml:space="preserve">16"H x 53"W x 28"D, 45 lb</t>
  </si>
  <si>
    <t xml:space="preserve">[Tier B] Retailer 'Best selling' sort: #1 in /collections/coffee-table (sort_by=best-selling). No public rating/review count on page</t>
  </si>
  <si>
    <t xml:space="preserve">https://timbergirl.com/products/mango-wood-coffee-table</t>
  </si>
  <si>
    <t xml:space="preserve">https://cdn.shopify.com/s/files/1/0681/8414/6142/files/SUN_0229.jpg?v=1737567298</t>
  </si>
  <si>
    <t xml:space="preserve">Rustic Low Coffee Table</t>
  </si>
  <si>
    <t xml:space="preserve">Reclaimed wood</t>
  </si>
  <si>
    <t xml:space="preserve">The Vintage Realm (Modern Karigar)</t>
  </si>
  <si>
    <t xml:space="preserve">Multiple sizes (price = lowest variant)</t>
  </si>
  <si>
    <t xml:space="preserve">https://thevintagerealm.com/products/rustic-low-coffee-table</t>
  </si>
  <si>
    <t xml:space="preserve">https://cdn.shopify.com/s/files/1/0626/9196/7157/files/rustic-low-coffee-tableprod-159-01-6418904.webp?v=1780394286</t>
  </si>
  <si>
    <t xml:space="preserve">Solid Natural Mango Wood Bench - 60"</t>
  </si>
  <si>
    <t xml:space="preserve">Bench</t>
  </si>
  <si>
    <t xml:space="preserve">Solid mango wood</t>
  </si>
  <si>
    <t xml:space="preserve">18"H x 60"W x 16"D</t>
  </si>
  <si>
    <t xml:space="preserve">[Tier B] Retailer 'Best selling' sort: #1 in /collections/dining-benches-1 (sort_by=best-selling). No public rating/review count on page</t>
  </si>
  <si>
    <t xml:space="preserve">https://timbergirl.com/products/solid-natural-mango-wood-bench-60</t>
  </si>
  <si>
    <t xml:space="preserve">https://cdn.shopify.com/s/files/1/0681/8414/6142/files/SUN_2449_2.jpg?v=1753892427</t>
  </si>
  <si>
    <t xml:space="preserve">Solid Mango Wood Tall Bookcase</t>
  </si>
  <si>
    <t xml:space="preserve">Recycled/rough-sawn mango wood with iron</t>
  </si>
  <si>
    <t xml:space="preserve">71"H x 23.75"W x 15.75"D, 80 lb</t>
  </si>
  <si>
    <t xml:space="preserve">[Tier B] Retailer 'Best selling' sort: #1 in /collections/towers-bookcases (sort_by=best-selling). No public rating/review count on page</t>
  </si>
  <si>
    <t xml:space="preserve">https://timbergirl.com/products/reclaimed-wood-tall-rack</t>
  </si>
  <si>
    <t xml:space="preserve">https://cdn.shopify.com/s/files/1/0681/8414/6142/files/86911955_01.png?v=1731354540</t>
  </si>
  <si>
    <t xml:space="preserve">Blayne 78-Inch Tall Live Edge Bookshelf</t>
  </si>
  <si>
    <t xml:space="preserve">Acacia shelves, cast-iron frame</t>
  </si>
  <si>
    <t xml:space="preserve">78 in tall (per title)</t>
  </si>
  <si>
    <t xml:space="preserve">[Tier B] Retailer 'Best selling' sort: #1 in /collections/bookcases-shelving (sort_by=best-selling). No public rating/review count on page</t>
  </si>
  <si>
    <t xml:space="preserve">https://worldinteriors.com/products/blayne-78-inch-tall-live-edge-bookshelf</t>
  </si>
  <si>
    <t xml:space="preserve">https://cdn.shopify.com/s/files/1/1871/5825/products/ZWBABS34RW_add.jpg?v=1740007621</t>
  </si>
  <si>
    <t xml:space="preserve">Carved Wooden Mirror</t>
  </si>
  <si>
    <t xml:space="preserve">Solid wood, hand-carved (as stated); made in India</t>
  </si>
  <si>
    <t xml:space="preserve">TimorGreen (sold at Timbergirl)</t>
  </si>
  <si>
    <t xml:space="preserve">As stated: 2"H x 81"L x 45"W (seller order looks inconsistent; check page)</t>
  </si>
  <si>
    <t xml:space="preserve">[Tier B] Retailer 'Best selling' sort: #2 in /collections/mirrors (sort_by=best-selling). No public rating/review count on page</t>
  </si>
  <si>
    <t xml:space="preserve">https://timbergirl.com/products/rhu-home-carved-wooden-mirror</t>
  </si>
  <si>
    <t xml:space="preserve">https://cdn.shopify.com/s/files/1/0681/8414/6142/files/AAM257_3_Web__79113__67594.1650996873.1280.1280.jpg?v=1719703009</t>
  </si>
  <si>
    <t xml:space="preserve">Summit 54" Modern Coffee Table in Capri Sheesham</t>
  </si>
  <si>
    <t xml:space="preserve">100% solid sheesham, iron base</t>
  </si>
  <si>
    <t xml:space="preserve">54"W x 28"D x 18"H</t>
  </si>
  <si>
    <t xml:space="preserve">[Tier B] Retailer 'Best selling' sort: #2 in /collections/sheesham-wood (sort_by=best-selling). No public rating/review count on page</t>
  </si>
  <si>
    <t xml:space="preserve">https://worldinteriors.com/products/summit-54-modern-coffee-table-in-capri-sheesham</t>
  </si>
  <si>
    <t xml:space="preserve">https://cdn.shopify.com/s/files/1/1871/5825/files/fsvl-ct54cs_3q1.jpg?v=1740006913</t>
  </si>
  <si>
    <t xml:space="preserve">Timbergirl Old reclaimed wood Console Table</t>
  </si>
  <si>
    <t xml:space="preserve">Reclaimed wood (saal) with iron handles</t>
  </si>
  <si>
    <t xml:space="preserve">60"W x 16"D x 31.5"H, 50 lb</t>
  </si>
  <si>
    <t xml:space="preserve">[Tier B] Retailer 'Best selling' sort: #2 in /collections/console-tables (sort_by=best-selling). No public rating/review count on page</t>
  </si>
  <si>
    <t xml:space="preserve">https://timbergirl.com/products/timbergirl-old-reclaimed-wood-console-table</t>
  </si>
  <si>
    <t xml:space="preserve">https://cdn.shopify.com/s/files/1/0681/8414/6142/files/SUN_AA1473_2.png?v=1729543126</t>
  </si>
  <si>
    <t xml:space="preserve">Timbergirl Suman Rustic Multicolor Bench - 50"</t>
  </si>
  <si>
    <t xml:space="preserve">Solid mango wood, rustic multicolour</t>
  </si>
  <si>
    <t xml:space="preserve">18"H x 50"W x 16"D (60" W also available)</t>
  </si>
  <si>
    <t xml:space="preserve">[Tier B] Retailer 'Best selling' sort: #2 in /collections/dining-benches-1 (sort_by=best-selling). No public rating/review count on page</t>
  </si>
  <si>
    <t xml:space="preserve">https://timbergirl.com/products/timbergirl-suman-rustic-multicolor-bench-50</t>
  </si>
  <si>
    <t xml:space="preserve">https://cdn.shopify.com/s/files/1/0681/8414/6142/files/SUN_7914.jpg?v=1729703958</t>
  </si>
  <si>
    <t xml:space="preserve">White and Gold Wall Hanging Pooja Mandir</t>
  </si>
  <si>
    <t xml:space="preserve">Solid mango wood, hand-painted, carved jaali detailing</t>
  </si>
  <si>
    <t xml:space="preserve">Two sizes; wall-hanging or floor-standing (see page)</t>
  </si>
  <si>
    <t xml:space="preserve">[Tier B] Retailer 'Best selling' sort: #3 in /collections/wooden-pooja-mandirs-bajot-chowki-usa (sort_by=best-selling). No public rating/review count on page</t>
  </si>
  <si>
    <t xml:space="preserve">https://urliutsav.com/products/compact-white-gold-wooden-temple</t>
  </si>
  <si>
    <t xml:space="preserve">https://cdn.shopify.com/s/files/1/0579/1534/2899/files/GoldMandir-8.jpg?v=1770973128</t>
  </si>
  <si>
    <t xml:space="preserve">5' x 2' White Wooden Pooja Mandir with Doors for Home</t>
  </si>
  <si>
    <t xml:space="preserve">Engineered wood, plywood, white finish (as stated)</t>
  </si>
  <si>
    <t xml:space="preserve">[Tier B] Retailer 'Best selling' sort: #3 in /collections/pooja-mandirs (sort_by=best-selling). No public rating/review count on page</t>
  </si>
  <si>
    <t xml:space="preserve">https://themandirstore.us/products/5-x-2-white-wooden-pooja-mandir-with-doors</t>
  </si>
  <si>
    <t xml:space="preserve">https://cdn.shopify.com/s/files/1/0558/5997/0197/files/image_12.png?v=1785515388</t>
  </si>
  <si>
    <t xml:space="preserve">OK | seller copy: backorder from incoming container</t>
  </si>
  <si>
    <t xml:space="preserve">Rajasthani Jharokha Mirror with Opening Doors – 20x16 Inches</t>
  </si>
  <si>
    <t xml:space="preserve">MDF panel with glass mirror; brass hinges (as stated)</t>
  </si>
  <si>
    <t xml:space="preserve">20" x 16" x 12 mm</t>
  </si>
  <si>
    <t xml:space="preserve">[Tier B] Retailer 'Best selling' sort: #3 in /collections/handcrafted-rajasthani-jharokha-decor (sort_by=best-selling). No public rating/review count on page</t>
  </si>
  <si>
    <t xml:space="preserve">https://urliutsav.com/products/rajasthani-jharokha-20x16-inches-mirror-frame</t>
  </si>
  <si>
    <t xml:space="preserve">https://cdn.shopify.com/s/files/1/0579/1534/2899/files/RajasthaniMirrorJharokha5.jpg?v=1735351936</t>
  </si>
  <si>
    <t xml:space="preserve">Seesham Wood Coffee Table</t>
  </si>
  <si>
    <t xml:space="preserve">Solid sheesham wood, handmade</t>
  </si>
  <si>
    <t xml:space="preserve">[Tier B] Retailer 'Best selling' sort: #3 in /collections/coffee-table (sort_by=best-selling). No public rating/review count on page</t>
  </si>
  <si>
    <t xml:space="preserve">https://timbergirl.com/products/seesham-wood-coffee-table</t>
  </si>
  <si>
    <t xml:space="preserve">https://cdn.shopify.com/s/files/1/0681/8414/6142/files/SUN_8086.jpg?v=1744654739</t>
  </si>
  <si>
    <t xml:space="preserve">CRAFT Indra Espresso Carved Wood Elephant Storage Cabinet</t>
  </si>
  <si>
    <t xml:space="preserve">Hand-carved wood (species not stated), metal base</t>
  </si>
  <si>
    <t xml:space="preserve">35.5"W x 15.5"D x 47.5"H, 121 lb</t>
  </si>
  <si>
    <t xml:space="preserve">[Tier C] 14 reviews, 4.9 avg; World Market 'Top Sellers' sort #14 for search 'carved wood'</t>
  </si>
  <si>
    <t xml:space="preserve">https://www.worldmarket.com/p/craft-indra-espresso-carved-wood-elephant-storage-cabinet-659257.html</t>
  </si>
  <si>
    <t xml:space="preserve">https://www.worldmarket.com/on/demandware.static/-/Sites-wm-master-catalog/default/dw999fc2d1/images/large/136031_XXX_v1.jpg?sw=400&amp;sh=400&amp;sm=fit&amp;sfrm=jpg&amp;q=80</t>
  </si>
  <si>
    <t xml:space="preserve">OK | tile status: out of stock | on sale (list 699.99)</t>
  </si>
  <si>
    <t xml:space="preserve">Nisha Hand Carved Wood Medallion Dining Bench</t>
  </si>
  <si>
    <t xml:space="preserve">Mango wood, hand-carved medallion apron</t>
  </si>
  <si>
    <t xml:space="preserve">53"W x 16"D x 18.5"H, 35 lb</t>
  </si>
  <si>
    <t xml:space="preserve">[Tier C] 12 reviews, 4.8 avg; World Market 'Top Sellers' sort #12 for search 'wood bench'</t>
  </si>
  <si>
    <t xml:space="preserve">https://www.worldmarket.com/p/nisha-hand-carved-wood-medallion-dining-bench-643234.html</t>
  </si>
  <si>
    <t xml:space="preserve">https://www.worldmarket.com/on/demandware.static/-/Sites-wm-master-catalog/default/dw103d11e6/images/large/127134_XXX_v1.jpg?sw=400&amp;sh=400&amp;sm=fit&amp;sfrm=jpg&amp;q=80</t>
  </si>
  <si>
    <t xml:space="preserve">Mango Wood Arched Antique Floral Hand Painted Wall Mirror</t>
  </si>
  <si>
    <t xml:space="preserve">Mirrored glass and mango wood, hand-painted crackle finish</t>
  </si>
  <si>
    <t xml:space="preserve">36"W x 1"D x 24"H, 15 lb</t>
  </si>
  <si>
    <t xml:space="preserve">[Tier C] 7 reviews, 5.0 avg; World Market 'Top Sellers' sort #2 for search 'mango wood'</t>
  </si>
  <si>
    <t xml:space="preserve">https://www.worldmarket.com/p/mango-wood-arched-antique-floral-hand-painted-wall-mirror-655680.html</t>
  </si>
  <si>
    <t xml:space="preserve">https://www.worldmarket.com/on/demandware.static/-/Sites-wm-master-catalog/default/dw618345f1/images/large/134392_XXX_v1.jpg?sw=400&amp;sh=400&amp;sm=fit&amp;sfrm=jpg&amp;q=80</t>
  </si>
  <si>
    <t xml:space="preserve">30-Inches White &amp; Gold Wooden Pooja Mandir with Hanging Bells</t>
  </si>
  <si>
    <t xml:space="preserve">Solid mango wood, hand-embossed painting</t>
  </si>
  <si>
    <t xml:space="preserve">30"H x 24"W x 12"D</t>
  </si>
  <si>
    <t xml:space="preserve">[Tier C] Retailer 'Best selling' sort: #4 in /collections/wooden-pooja-mandirs-bajot-chowki-usa (sort_by=best-selling). No public rating/review count on page</t>
  </si>
  <si>
    <t xml:space="preserve">https://urliutsav.com/products/white-gold-wooden-pooja-mandir-brass-bells</t>
  </si>
  <si>
    <t xml:space="preserve">https://cdn.shopify.com/s/files/1/0579/1534/2899/files/PoojaMandirWithBell-UrliUtsav-main.jpg?v=1769371926</t>
  </si>
  <si>
    <t xml:space="preserve">5.5' x 2.5' Premium White Finish Mandir with doors</t>
  </si>
  <si>
    <t xml:space="preserve">5.5 ft x 2.5 ft (per title)</t>
  </si>
  <si>
    <t xml:space="preserve">[Tier C] Retailer 'Best selling' sort: #4 in /collections/pooja-mandirs (sort_by=best-selling). No public rating/review count on page</t>
  </si>
  <si>
    <t xml:space="preserve">https://themandirstore.us/products/5-x-2-premium-white-finish-mandir-with-doors</t>
  </si>
  <si>
    <t xml:space="preserve">https://cdn.shopify.com/s/files/1/0558/5997/0197/files/image_14.png?v=1785516483</t>
  </si>
  <si>
    <t xml:space="preserve">Elephant Stool Side Table - Dark Brown Wood, 4 Designs</t>
  </si>
  <si>
    <t xml:space="preserve">Solid mango wood, hand-carved &amp; hand-painted</t>
  </si>
  <si>
    <t xml:space="preserve">~14 in H, 13 in round top, 18 in wide</t>
  </si>
  <si>
    <t xml:space="preserve">[Tier C] Retailer 'Best selling' sort: #4 in /collections/handcrafted-table-decor (sort_by=best-selling). No public rating/review count on page</t>
  </si>
  <si>
    <t xml:space="preserve">https://urliutsav.com/products/elephant-stool-side-table-dark-brown</t>
  </si>
  <si>
    <t xml:space="preserve">https://cdn.shopify.com/s/files/1/0579/1534/2899/files/BrownWoodColor-ElephantStool-1.jpg?v=1736138292</t>
  </si>
  <si>
    <t xml:space="preserve">OK | sold singly; doubles as side table</t>
  </si>
  <si>
    <t xml:space="preserve">Wooden Elephant Head Wall Art - 17-Inch Hand-Carved, 6 Colours</t>
  </si>
  <si>
    <t xml:space="preserve">Mango wood, hand-carved, hand-painted</t>
  </si>
  <si>
    <t xml:space="preserve">17 in H x 14.3 in W x 5 in D</t>
  </si>
  <si>
    <t xml:space="preserve">[Tier C] Retailer 'Best selling' sort: #4 in /collections/indian-handcrafted-wall-arts (sort_by=best-selling). No public rating/review count on page</t>
  </si>
  <si>
    <t xml:space="preserve">https://urliutsav.com/products/16-hand-painted-wooden-elephant-head-ethnic-wall-decor</t>
  </si>
  <si>
    <t xml:space="preserve">https://cdn.shopify.com/s/files/1/0579/1534/2899/files/ElphantHeadSet2.jpg?v=1740714316</t>
  </si>
  <si>
    <t xml:space="preserve">Solid Sheesham wood Cube Small Coffee table</t>
  </si>
  <si>
    <t xml:space="preserve">15.75" x 23.5" x 23.5", 38 lb</t>
  </si>
  <si>
    <t xml:space="preserve">[Tier C] Retailer 'Best selling' sort: #4 in /collections/coffee-table (sort_by=best-selling). No public rating/review count on page</t>
  </si>
  <si>
    <t xml:space="preserve">https://timbergirl.com/products/solid-sheesham-wood-cube-small-coffee-table</t>
  </si>
  <si>
    <t xml:space="preserve">https://cdn.shopify.com/s/files/1/0681/8414/6142/files/SUN_08-04-2017_Org_22__88520.1680204439.1280.1280.jpg?v=1719699022</t>
  </si>
  <si>
    <t xml:space="preserve">Nexora Console Table</t>
  </si>
  <si>
    <t xml:space="preserve">Reclaimed teak wood</t>
  </si>
  <si>
    <t xml:space="preserve">[Tier C] Retailer 'Best selling' sort: #4 in /collections/best-seller (sort_by=best-selling). No public rating/review count on page</t>
  </si>
  <si>
    <t xml:space="preserve">https://thevintagerealm.com/products/nexora-console-table</t>
  </si>
  <si>
    <t xml:space="preserve">https://cdn.shopify.com/s/files/1/0626/9196/7157/files/nexora-console-tablemk-0006-01-5051463.png?v=1789426147</t>
  </si>
  <si>
    <t xml:space="preserve">Wooden Pooja Temple – Traditional Ghar Mandir</t>
  </si>
  <si>
    <t xml:space="preserve">Mandir 30"H x 22"W x 11"D</t>
  </si>
  <si>
    <t xml:space="preserve">[Tier C] Retailer 'Best selling' sort: #7 in /collections/wooden-pooja-mandirs-bajot-chowki-usa (sort_by=best-selling). No public rating/review count on page</t>
  </si>
  <si>
    <t xml:space="preserve">https://urliutsav.com/products/wooden-pooja-temple-traditional-ghar-mandir</t>
  </si>
  <si>
    <t xml:space="preserve">https://cdn.shopify.com/s/files/1/0579/1534/2899/files/whitemandir-urliutsav.1.jpg?v=1771108941</t>
  </si>
  <si>
    <t xml:space="preserve">Rosewood 68" Live Edge Bench in Natural Sheesham</t>
  </si>
  <si>
    <t xml:space="preserve">Solid sheesham, live edge, iron legs</t>
  </si>
  <si>
    <t xml:space="preserve">68 in long (per title)</t>
  </si>
  <si>
    <t xml:space="preserve">[Tier C] Retailer 'Best selling' sort: #8 in /collections/sheesham-wood (sort_by=best-selling). No public rating/review count on page</t>
  </si>
  <si>
    <t xml:space="preserve">https://worldinteriors.com/products/rosewood-68-live-edge-bench-in-natural-sheesham</t>
  </si>
  <si>
    <t xml:space="preserve">https://cdn.shopify.com/s/files/1/1871/5825/files/Rosewood_68_Bench_in_Natural_Sheesham_-_World_Interiors.jpg?v=1740006916</t>
  </si>
  <si>
    <t xml:space="preserve">Competitor product</t>
  </si>
  <si>
    <t xml:space="preserve">Competitor category</t>
  </si>
  <si>
    <t xml:space="preserve">Competitor price (USD)</t>
  </si>
  <si>
    <t xml:space="preserve">Our SKU</t>
  </si>
  <si>
    <t xml:space="preserve">Our product</t>
  </si>
  <si>
    <t xml:space="preserve">Our planned US price (USD)</t>
  </si>
  <si>
    <t xml:space="preserve">Gap % (ours vs competitor)</t>
  </si>
  <si>
    <t xml:space="preserve">Comment</t>
  </si>
  <si>
    <t xml:space="preserve">S7</t>
  </si>
  <si>
    <t xml:space="preserve">Entryway console</t>
  </si>
  <si>
    <t xml:space="preserve">S6</t>
  </si>
  <si>
    <t xml:space="preserve">S9</t>
  </si>
  <si>
    <t xml:space="preserve">Conservative comp</t>
  </si>
  <si>
    <t xml:space="preserve">S11</t>
  </si>
  <si>
    <t xml:space="preserve">Comp is a single board/tray/bowl, our S11 is a 3-piece personalised gift set: compare as add-on, not like-for-like</t>
  </si>
  <si>
    <t xml:space="preserve">Single large tray; our set includes tray+board+spoon</t>
  </si>
  <si>
    <t xml:space="preserve">No starter-catalogue equivalent (excluded in doc 03 section 6 or not in range)</t>
  </si>
  <si>
    <t xml:space="preserve">S1</t>
  </si>
  <si>
    <t xml:space="preserve">30 in class (= our 2.5 ft); comp is hand-painted mango; ours is carved</t>
  </si>
  <si>
    <t xml:space="preserve">Larger 4-5 ft unit; we sell 3-4 ft only as made-to-order (doc 08), no starter SKU</t>
  </si>
  <si>
    <t xml:space="preserve">S10</t>
  </si>
  <si>
    <t xml:space="preserve">S4</t>
  </si>
  <si>
    <t xml:space="preserve">Comp is a small MDF painted jharokha, not a solid carved panel; size and material differ from S4</t>
  </si>
  <si>
    <t xml:space="preserve">S3</t>
  </si>
  <si>
    <t xml:space="preserve">Wall mirror; check size/material vs S3 (60x90 cm carved)</t>
  </si>
  <si>
    <t xml:space="preserve">S5</t>
  </si>
  <si>
    <t xml:space="preserve">Boutique tier; do not price against commodity</t>
  </si>
  <si>
    <t xml:space="preserve">S8</t>
  </si>
  <si>
    <t xml:space="preserve">S2</t>
  </si>
  <si>
    <t xml:space="preserve">Compact/wall-hanging class; our S2 is solid carved (comp is painted mango, 275-380 sizes)</t>
  </si>
  <si>
    <t xml:space="preserve">Small carved seat/table; closest is our pooja stool, not identical use</t>
  </si>
  <si>
    <t xml:space="preserve">No equivalent (carved animal head not in starter range)</t>
  </si>
  <si>
    <t xml:space="preserve">Our starter SKUs and planned US prices - source: docs/marketing/us-first-100/03-starter-catalogue.md section 1 (dated 2026-09-25). ASSUMPTIONS until the owner fills the input sheet. Edit prices here and the gap % above recalculates.</t>
  </si>
  <si>
    <t xml:space="preserve">SKU</t>
  </si>
  <si>
    <t xml:space="preserve">Product</t>
  </si>
  <si>
    <t xml:space="preserve">Planned US price (USD)</t>
  </si>
  <si>
    <t xml:space="preserve">Carved mandir 2.5 ft</t>
  </si>
  <si>
    <t xml:space="preserve">Compact mandir 2 ft</t>
  </si>
  <si>
    <t xml:space="preserve">Carved mirror 60 x 90</t>
  </si>
  <si>
    <t xml:space="preserve">Jaali wall panel 60 x 90</t>
  </si>
  <si>
    <t xml:space="preserve">Coffee table 90 x 50</t>
  </si>
  <si>
    <t xml:space="preserve">Side table</t>
  </si>
  <si>
    <t xml:space="preserve">Console 120</t>
  </si>
  <si>
    <t xml:space="preserve">Bench 120</t>
  </si>
  <si>
    <t xml:space="preserve">Bookshelf 5-tier 185 cm</t>
  </si>
  <si>
    <t xml:space="preserve">Carved pooja stool</t>
  </si>
  <si>
    <t xml:space="preserve">Kitchen gift set (tray + board + spoon)</t>
  </si>
  <si>
    <t xml:space="preserve">Count</t>
  </si>
  <si>
    <t xml:space="preserve">Min price (USD)</t>
  </si>
  <si>
    <t xml:space="preserve">Median price (USD)</t>
  </si>
  <si>
    <t xml:space="preserve">Max price (USD)</t>
  </si>
  <si>
    <t xml:space="preserve">Our planned price (USD)</t>
  </si>
  <si>
    <t xml:space="preserve">Our price vs median</t>
  </si>
  <si>
    <t xml:space="preserve">Total rows / overall</t>
  </si>
  <si>
    <t xml:space="preserve">Notes: prices are current listed prices (sale price where two show); some are lowest-size variants. Categories with 1-2 rows have no meaningful median. Our planned prices are ASSUMPTIONS from the starter catalogue (03). Categories with no SKU (storage cabinet, planter, decor) are outside the first container.</t>
  </si>
  <si>
    <t xml:space="preserve">Topic</t>
  </si>
  <si>
    <t xml:space="preserve">Detail</t>
  </si>
  <si>
    <t xml:space="preserve">Purpose</t>
  </si>
  <si>
    <t xml:space="preserve">Internal research list for The Wood Vintage (handcrafted Jodhpur wood furniture and decor; first market USA, B2C): 50 products that appear to sell best in the USA in categories the workshop can make, with current prices and thumbnails. Prepared 2026-09-25.</t>
  </si>
  <si>
    <t xml:space="preserve">What 'top selling' means here</t>
  </si>
  <si>
    <t xml:space="preserve">There is NO real sales data. Every row is ranked by an observable proxy, stated in the 'Best-seller proxy' column: (a) World Market: public review count and rating, plus the position in World Market's own 'Top Sellers' sort for a search (srule=top-sellers); (b) Shopify retailers (Timbergirl, World Interiors, The Vintage Realm, Urli Utsav Decor, The Mandir Store): position in the retailer's own 'Best selling' collection sort (sort_by=best-selling); these pages show no review counts. A proxy is NOT a unit-sales figure and is not comparable across retailers.</t>
  </si>
  <si>
    <t xml:space="preserve">Ranking rule</t>
  </si>
  <si>
    <t xml:space="preserve">Rows are ordered by proxy tier, then by review count (highest first), then by best-selling sort position (lowest first). Tier A = 100+ public reviews. Tier B = 20 to 99 reviews, or #1-#3 in a retailer's best-selling sort where no reviews are shown. Tier C = everything else (under 20 reviews or lower sort position). Within a tier the order is only indicative; rank 1 is not proven to outsell rank 2. Category spread was applied on purpose (max 7 rows per category; wide price spread from about USD 27 to USD 1,500), so this is 'best sellers by category' and not a pure global sort.</t>
  </si>
  <si>
    <t xml:space="preserve">Which sites were readable</t>
  </si>
  <si>
    <t xml:space="preserve">READ: worldmarket.com (search and product pages), timbergirl.com, worldinteriors.com, thevintagerealm.com, urliutsav.com, themandirstore.us (public HTML pages and each store's product .js feed). BLOCKED or unusable (no data taken): Etsy (HTTP 403), Amazon.com (bot-check page; best-seller and search pages return no product data), Wayfair (429), eBay (403), The Home Depot (403), Walmart (JavaScript/captcha shell, no product data), Target (JavaScript-rendered, no product data), Novica (JavaScript-rendered), Overstock (404), Pottery Barn, CB2, Crate and Barrel, West Elm (403/timeouts in earlier research), Jaipur Living (no product feed), Kalalou (no usable feed). Consequence: NO Amazon, Etsy or Wayfair rows. Real marketplace best sellers (Etsy 'Bestseller' badge and sales counts, Amazon Best Sellers Rank) are still missing and remain the biggest gap. Channels are therefore limited to World Market plus five specialist online stores.</t>
  </si>
  <si>
    <t xml:space="preserve">Prices</t>
  </si>
  <si>
    <t xml:space="preserve">Current price = the price shown on the product page or product feed on the fetched date/time (UTC, column P), in USD, before shipping and tax. 'Sale / list price' is filled only where the page shows a higher list or compare-at price. Where a product has several sizes (The Vintage Realm) the price is the lowest size variant and the row is marked. Sansur console and Indra cabinet are on sale. Prices change daily; re-check before using them for pricing decisions (FAST).</t>
  </si>
  <si>
    <t xml:space="preserve">Availability</t>
  </si>
  <si>
    <t xml:space="preserve">Timbergirl's #1 coffee table and several other Timbergirl best sellers were SOLD OUT at fetch (that is itself a demand signal, but the price shown is the list price of an unavailable item). The Mandir Store 5 x 2 ft white mandir is on backorder per its own text. Status column says so.</t>
  </si>
  <si>
    <t xml:space="preserve">Materials and honesty flags</t>
  </si>
  <si>
    <t xml:space="preserve">'Material (as stated)' is copied or condensed from the seller's page and NOT verified. Several rows are deliberately non-solid or non-Indian so the owner can see the mass-market volume leaders: Everett console (acacia, pine, MDF, plywood, veneer), Chloe side table (rubberwood), Augustus bookshelf (rubber wood and veneer), Urli jharokha mirrors (MDF frame with glass), The Mandir Store mandirs (engineered wood and plywood). Mango vs acacia naming is inconsistent on some World Market pages (Lansing table title says mango, spec says acacia). 'Sheesham' is Dalbergia sissoo (CITES-listed; see starter catalogue section 5).</t>
  </si>
  <si>
    <t xml:space="preserve">Data-quality warnings</t>
  </si>
  <si>
    <t xml:space="preserve">1) Proxy is not sales. 2) Review counts at World Market can include reviews for all colours/sizes of a listing. 3) Shopify 'best selling' sort is the store's own ordering and may reflect a time window or manual curation; only the first page of each collection was read. 4) Ratings and review counts are blank for Shopify retailers because none were shown. 5) Images are the seller's main image; dimension text was copied from the page and may be inconsistent (TimorGreen carved mirror lists 2 in high x 81 in long x 45 in wide). 6) Category assignment is ours. 7) Only 1-2 rows in some categories, so medians there are not meaningful.</t>
  </si>
  <si>
    <t xml:space="preserve">Image usage</t>
  </si>
  <si>
    <t xml:space="preserve">Thumbnails (about 140 px, downscaled JPEG) were downloaded from each seller's product page for INTERNAL reference only. They belong to their owners. Do NOT reuse them on our website, ads, social media or marketplace listings; use our own workshop photos (starter catalogue section 4). Downloads were sequential with about 1 second gaps, one image per product, no bulk crawling.</t>
  </si>
  <si>
    <t xml:space="preserve">Our target sheet</t>
  </si>
  <si>
    <t xml:space="preserve">Maps each row to the closest starter SKU (S1-S11) in docs/marketing/us-first-100/03-starter-catalogue.md at its planned US price (2026-09-25 assumptions; edit them in the SKU table at the bottom of the 'Our target' sheet). Gap % = our price / competitor price - 1, computed by formula. Blank SKU = no equivalent in the first container. A large gap is not a conclusion: sizes, materials and set contents differ.</t>
  </si>
  <si>
    <t xml:space="preserve">Category summary</t>
  </si>
  <si>
    <t xml:space="preserve">Counts, min, median and max are live formulas over the 'Top 50' sheet (MINIFS, MAXIFS, MEDIAN with IF array). Change a price and they update. Our planned price and price vs median are pulled from the SKU table.</t>
  </si>
  <si>
    <t xml:space="preserve">How to refresh</t>
  </si>
  <si>
    <t xml:space="preserve">1) For World Market, open worldmarket.com/search?q=&lt;term&gt;&amp;srule=top-sellers and read each tile's price, rating, review count and product link. 2) For each Shopify retailer, open /collections/&lt;collection&gt;?sort_by=best-selling to get the order, and /products/&lt;handle&gt;.js for price, availability and image. 3) Re-download the main image, resize to about 140 px. 4) Update columns H-L, P and Q. 5) To add Etsy and Amazon: in a normal browser capture the listing price, 'Bestseller' badge, sales count / review count and Amazon Best Sellers Rank for the same categories, then paste them into new rows with the proxy stated. Keep the same rule: never estimate a missing price.</t>
  </si>
  <si>
    <t xml:space="preserve">Sources</t>
  </si>
  <si>
    <t xml:space="preserve">See documentation/docs/marketing/exports/sources/README.md for the URL list and fetch method. Earlier repo research used for context: competitor-research/us-b2c-price-benchmark.md, us-b2c-competitor-analysis.md, marketing/best-selling-products-by-market.md, marketing/us-first-100/03-starter-catalogue.md.</t>
  </si>
</sst>
</file>

<file path=xl/styles.xml><?xml version="1.0" encoding="utf-8"?>
<styleSheet xmlns="http://schemas.openxmlformats.org/spreadsheetml/2006/main">
  <numFmts count="6">
    <numFmt numFmtId="164" formatCode="General"/>
    <numFmt numFmtId="165" formatCode="\$#,##0.00"/>
    <numFmt numFmtId="166" formatCode="0.0"/>
    <numFmt numFmtId="167" formatCode="#,##0"/>
    <numFmt numFmtId="168" formatCode="\$#,##0"/>
    <numFmt numFmtId="169" formatCode="\+0%;\-0%;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u val="single"/>
      <sz val="10"/>
      <color rgb="FF0563C1"/>
      <name val="Arial"/>
      <family val="0"/>
      <charset val="1"/>
    </font>
    <font>
      <i val="true"/>
      <sz val="9"/>
      <name val="Arial"/>
      <family val="0"/>
      <charset val="1"/>
    </font>
    <font>
      <sz val="10"/>
      <color rgb="FF0000FF"/>
      <name val="Arial"/>
      <family val="0"/>
      <charset val="1"/>
    </font>
    <font>
      <b val="true"/>
      <sz val="10"/>
      <name val="Arial"/>
      <family val="0"/>
      <charset val="1"/>
    </font>
  </fonts>
  <fills count="3">
    <fill>
      <patternFill patternType="none"/>
    </fill>
    <fill>
      <patternFill patternType="gray125"/>
    </fill>
    <fill>
      <patternFill patternType="solid">
        <fgColor rgb="FF5A3A1E"/>
        <bgColor rgb="FF3333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5A3A1E"/>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5A3A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1</xdr:col>
      <xdr:colOff>1333080</xdr:colOff>
      <xdr:row>1</xdr:row>
      <xdr:rowOff>1333080</xdr:rowOff>
    </xdr:to>
    <xdr:pic>
      <xdr:nvPicPr>
        <xdr:cNvPr id="0" name="Image 1" descr="Picture"/>
        <xdr:cNvPicPr/>
      </xdr:nvPicPr>
      <xdr:blipFill>
        <a:blip r:embed="rId1"/>
        <a:stretch/>
      </xdr:blipFill>
      <xdr:spPr>
        <a:xfrm>
          <a:off x="423000" y="399960"/>
          <a:ext cx="1333080" cy="1333080"/>
        </a:xfrm>
        <a:prstGeom prst="rect">
          <a:avLst/>
        </a:prstGeom>
        <a:ln w="0">
          <a:noFill/>
        </a:ln>
      </xdr:spPr>
    </xdr:pic>
    <xdr:clientData/>
  </xdr:twoCellAnchor>
  <xdr:twoCellAnchor editAs="oneCell">
    <xdr:from>
      <xdr:col>1</xdr:col>
      <xdr:colOff>0</xdr:colOff>
      <xdr:row>2</xdr:row>
      <xdr:rowOff>0</xdr:rowOff>
    </xdr:from>
    <xdr:to>
      <xdr:col>1</xdr:col>
      <xdr:colOff>1333080</xdr:colOff>
      <xdr:row>2</xdr:row>
      <xdr:rowOff>1333080</xdr:rowOff>
    </xdr:to>
    <xdr:pic>
      <xdr:nvPicPr>
        <xdr:cNvPr id="1" name="Image 2" descr="Picture"/>
        <xdr:cNvPicPr/>
      </xdr:nvPicPr>
      <xdr:blipFill>
        <a:blip r:embed="rId2"/>
        <a:stretch/>
      </xdr:blipFill>
      <xdr:spPr>
        <a:xfrm>
          <a:off x="423000" y="1790640"/>
          <a:ext cx="1333080" cy="1333080"/>
        </a:xfrm>
        <a:prstGeom prst="rect">
          <a:avLst/>
        </a:prstGeom>
        <a:ln w="0">
          <a:noFill/>
        </a:ln>
      </xdr:spPr>
    </xdr:pic>
    <xdr:clientData/>
  </xdr:twoCellAnchor>
  <xdr:twoCellAnchor editAs="oneCell">
    <xdr:from>
      <xdr:col>1</xdr:col>
      <xdr:colOff>0</xdr:colOff>
      <xdr:row>3</xdr:row>
      <xdr:rowOff>0</xdr:rowOff>
    </xdr:from>
    <xdr:to>
      <xdr:col>1</xdr:col>
      <xdr:colOff>1333080</xdr:colOff>
      <xdr:row>3</xdr:row>
      <xdr:rowOff>1333080</xdr:rowOff>
    </xdr:to>
    <xdr:pic>
      <xdr:nvPicPr>
        <xdr:cNvPr id="2" name="Image 3" descr="Picture"/>
        <xdr:cNvPicPr/>
      </xdr:nvPicPr>
      <xdr:blipFill>
        <a:blip r:embed="rId3"/>
        <a:stretch/>
      </xdr:blipFill>
      <xdr:spPr>
        <a:xfrm>
          <a:off x="423000" y="3181320"/>
          <a:ext cx="1333080" cy="1333080"/>
        </a:xfrm>
        <a:prstGeom prst="rect">
          <a:avLst/>
        </a:prstGeom>
        <a:ln w="0">
          <a:noFill/>
        </a:ln>
      </xdr:spPr>
    </xdr:pic>
    <xdr:clientData/>
  </xdr:twoCellAnchor>
  <xdr:twoCellAnchor editAs="oneCell">
    <xdr:from>
      <xdr:col>1</xdr:col>
      <xdr:colOff>0</xdr:colOff>
      <xdr:row>4</xdr:row>
      <xdr:rowOff>0</xdr:rowOff>
    </xdr:from>
    <xdr:to>
      <xdr:col>1</xdr:col>
      <xdr:colOff>1333080</xdr:colOff>
      <xdr:row>4</xdr:row>
      <xdr:rowOff>1333080</xdr:rowOff>
    </xdr:to>
    <xdr:pic>
      <xdr:nvPicPr>
        <xdr:cNvPr id="3" name="Image 4" descr="Picture"/>
        <xdr:cNvPicPr/>
      </xdr:nvPicPr>
      <xdr:blipFill>
        <a:blip r:embed="rId4"/>
        <a:stretch/>
      </xdr:blipFill>
      <xdr:spPr>
        <a:xfrm>
          <a:off x="423000" y="4572000"/>
          <a:ext cx="1333080" cy="1333080"/>
        </a:xfrm>
        <a:prstGeom prst="rect">
          <a:avLst/>
        </a:prstGeom>
        <a:ln w="0">
          <a:noFill/>
        </a:ln>
      </xdr:spPr>
    </xdr:pic>
    <xdr:clientData/>
  </xdr:twoCellAnchor>
  <xdr:twoCellAnchor editAs="oneCell">
    <xdr:from>
      <xdr:col>1</xdr:col>
      <xdr:colOff>0</xdr:colOff>
      <xdr:row>5</xdr:row>
      <xdr:rowOff>0</xdr:rowOff>
    </xdr:from>
    <xdr:to>
      <xdr:col>1</xdr:col>
      <xdr:colOff>1333080</xdr:colOff>
      <xdr:row>5</xdr:row>
      <xdr:rowOff>1333080</xdr:rowOff>
    </xdr:to>
    <xdr:pic>
      <xdr:nvPicPr>
        <xdr:cNvPr id="4" name="Image 5" descr="Picture"/>
        <xdr:cNvPicPr/>
      </xdr:nvPicPr>
      <xdr:blipFill>
        <a:blip r:embed="rId5"/>
        <a:stretch/>
      </xdr:blipFill>
      <xdr:spPr>
        <a:xfrm>
          <a:off x="423000" y="5962680"/>
          <a:ext cx="1333080" cy="1333080"/>
        </a:xfrm>
        <a:prstGeom prst="rect">
          <a:avLst/>
        </a:prstGeom>
        <a:ln w="0">
          <a:noFill/>
        </a:ln>
      </xdr:spPr>
    </xdr:pic>
    <xdr:clientData/>
  </xdr:twoCellAnchor>
  <xdr:twoCellAnchor editAs="oneCell">
    <xdr:from>
      <xdr:col>1</xdr:col>
      <xdr:colOff>0</xdr:colOff>
      <xdr:row>6</xdr:row>
      <xdr:rowOff>0</xdr:rowOff>
    </xdr:from>
    <xdr:to>
      <xdr:col>1</xdr:col>
      <xdr:colOff>1333080</xdr:colOff>
      <xdr:row>6</xdr:row>
      <xdr:rowOff>1333080</xdr:rowOff>
    </xdr:to>
    <xdr:pic>
      <xdr:nvPicPr>
        <xdr:cNvPr id="5" name="Image 6" descr="Picture"/>
        <xdr:cNvPicPr/>
      </xdr:nvPicPr>
      <xdr:blipFill>
        <a:blip r:embed="rId6"/>
        <a:stretch/>
      </xdr:blipFill>
      <xdr:spPr>
        <a:xfrm>
          <a:off x="423000" y="7353360"/>
          <a:ext cx="1333080" cy="1333080"/>
        </a:xfrm>
        <a:prstGeom prst="rect">
          <a:avLst/>
        </a:prstGeom>
        <a:ln w="0">
          <a:noFill/>
        </a:ln>
      </xdr:spPr>
    </xdr:pic>
    <xdr:clientData/>
  </xdr:twoCellAnchor>
  <xdr:twoCellAnchor editAs="oneCell">
    <xdr:from>
      <xdr:col>1</xdr:col>
      <xdr:colOff>0</xdr:colOff>
      <xdr:row>7</xdr:row>
      <xdr:rowOff>0</xdr:rowOff>
    </xdr:from>
    <xdr:to>
      <xdr:col>1</xdr:col>
      <xdr:colOff>1333080</xdr:colOff>
      <xdr:row>7</xdr:row>
      <xdr:rowOff>1333080</xdr:rowOff>
    </xdr:to>
    <xdr:pic>
      <xdr:nvPicPr>
        <xdr:cNvPr id="6" name="Image 7" descr="Picture"/>
        <xdr:cNvPicPr/>
      </xdr:nvPicPr>
      <xdr:blipFill>
        <a:blip r:embed="rId7"/>
        <a:stretch/>
      </xdr:blipFill>
      <xdr:spPr>
        <a:xfrm>
          <a:off x="423000" y="8744040"/>
          <a:ext cx="1333080" cy="1333080"/>
        </a:xfrm>
        <a:prstGeom prst="rect">
          <a:avLst/>
        </a:prstGeom>
        <a:ln w="0">
          <a:noFill/>
        </a:ln>
      </xdr:spPr>
    </xdr:pic>
    <xdr:clientData/>
  </xdr:twoCellAnchor>
  <xdr:twoCellAnchor editAs="oneCell">
    <xdr:from>
      <xdr:col>1</xdr:col>
      <xdr:colOff>0</xdr:colOff>
      <xdr:row>8</xdr:row>
      <xdr:rowOff>0</xdr:rowOff>
    </xdr:from>
    <xdr:to>
      <xdr:col>1</xdr:col>
      <xdr:colOff>1333080</xdr:colOff>
      <xdr:row>8</xdr:row>
      <xdr:rowOff>1333080</xdr:rowOff>
    </xdr:to>
    <xdr:pic>
      <xdr:nvPicPr>
        <xdr:cNvPr id="7" name="Image 8" descr="Picture"/>
        <xdr:cNvPicPr/>
      </xdr:nvPicPr>
      <xdr:blipFill>
        <a:blip r:embed="rId8"/>
        <a:stretch/>
      </xdr:blipFill>
      <xdr:spPr>
        <a:xfrm>
          <a:off x="423000" y="10134720"/>
          <a:ext cx="1333080" cy="1333080"/>
        </a:xfrm>
        <a:prstGeom prst="rect">
          <a:avLst/>
        </a:prstGeom>
        <a:ln w="0">
          <a:noFill/>
        </a:ln>
      </xdr:spPr>
    </xdr:pic>
    <xdr:clientData/>
  </xdr:twoCellAnchor>
  <xdr:twoCellAnchor editAs="oneCell">
    <xdr:from>
      <xdr:col>1</xdr:col>
      <xdr:colOff>0</xdr:colOff>
      <xdr:row>9</xdr:row>
      <xdr:rowOff>0</xdr:rowOff>
    </xdr:from>
    <xdr:to>
      <xdr:col>1</xdr:col>
      <xdr:colOff>1333080</xdr:colOff>
      <xdr:row>9</xdr:row>
      <xdr:rowOff>1333080</xdr:rowOff>
    </xdr:to>
    <xdr:pic>
      <xdr:nvPicPr>
        <xdr:cNvPr id="8" name="Image 9" descr="Picture"/>
        <xdr:cNvPicPr/>
      </xdr:nvPicPr>
      <xdr:blipFill>
        <a:blip r:embed="rId9"/>
        <a:stretch/>
      </xdr:blipFill>
      <xdr:spPr>
        <a:xfrm>
          <a:off x="423000" y="11525400"/>
          <a:ext cx="1333080" cy="1333080"/>
        </a:xfrm>
        <a:prstGeom prst="rect">
          <a:avLst/>
        </a:prstGeom>
        <a:ln w="0">
          <a:noFill/>
        </a:ln>
      </xdr:spPr>
    </xdr:pic>
    <xdr:clientData/>
  </xdr:twoCellAnchor>
  <xdr:twoCellAnchor editAs="oneCell">
    <xdr:from>
      <xdr:col>1</xdr:col>
      <xdr:colOff>0</xdr:colOff>
      <xdr:row>10</xdr:row>
      <xdr:rowOff>0</xdr:rowOff>
    </xdr:from>
    <xdr:to>
      <xdr:col>1</xdr:col>
      <xdr:colOff>1333080</xdr:colOff>
      <xdr:row>10</xdr:row>
      <xdr:rowOff>1333080</xdr:rowOff>
    </xdr:to>
    <xdr:pic>
      <xdr:nvPicPr>
        <xdr:cNvPr id="9" name="Image 10" descr="Picture"/>
        <xdr:cNvPicPr/>
      </xdr:nvPicPr>
      <xdr:blipFill>
        <a:blip r:embed="rId10"/>
        <a:stretch/>
      </xdr:blipFill>
      <xdr:spPr>
        <a:xfrm>
          <a:off x="423000" y="12916080"/>
          <a:ext cx="1333080" cy="1333080"/>
        </a:xfrm>
        <a:prstGeom prst="rect">
          <a:avLst/>
        </a:prstGeom>
        <a:ln w="0">
          <a:noFill/>
        </a:ln>
      </xdr:spPr>
    </xdr:pic>
    <xdr:clientData/>
  </xdr:twoCellAnchor>
  <xdr:twoCellAnchor editAs="oneCell">
    <xdr:from>
      <xdr:col>1</xdr:col>
      <xdr:colOff>0</xdr:colOff>
      <xdr:row>11</xdr:row>
      <xdr:rowOff>0</xdr:rowOff>
    </xdr:from>
    <xdr:to>
      <xdr:col>1</xdr:col>
      <xdr:colOff>1333080</xdr:colOff>
      <xdr:row>11</xdr:row>
      <xdr:rowOff>1333080</xdr:rowOff>
    </xdr:to>
    <xdr:pic>
      <xdr:nvPicPr>
        <xdr:cNvPr id="10" name="Image 11" descr="Picture"/>
        <xdr:cNvPicPr/>
      </xdr:nvPicPr>
      <xdr:blipFill>
        <a:blip r:embed="rId11"/>
        <a:stretch/>
      </xdr:blipFill>
      <xdr:spPr>
        <a:xfrm>
          <a:off x="423000" y="14306400"/>
          <a:ext cx="1333080" cy="1333080"/>
        </a:xfrm>
        <a:prstGeom prst="rect">
          <a:avLst/>
        </a:prstGeom>
        <a:ln w="0">
          <a:noFill/>
        </a:ln>
      </xdr:spPr>
    </xdr:pic>
    <xdr:clientData/>
  </xdr:twoCellAnchor>
  <xdr:twoCellAnchor editAs="oneCell">
    <xdr:from>
      <xdr:col>1</xdr:col>
      <xdr:colOff>0</xdr:colOff>
      <xdr:row>12</xdr:row>
      <xdr:rowOff>0</xdr:rowOff>
    </xdr:from>
    <xdr:to>
      <xdr:col>1</xdr:col>
      <xdr:colOff>1333080</xdr:colOff>
      <xdr:row>12</xdr:row>
      <xdr:rowOff>1333080</xdr:rowOff>
    </xdr:to>
    <xdr:pic>
      <xdr:nvPicPr>
        <xdr:cNvPr id="11" name="Image 12" descr="Picture"/>
        <xdr:cNvPicPr/>
      </xdr:nvPicPr>
      <xdr:blipFill>
        <a:blip r:embed="rId12"/>
        <a:stretch/>
      </xdr:blipFill>
      <xdr:spPr>
        <a:xfrm>
          <a:off x="423000" y="15697080"/>
          <a:ext cx="1333080" cy="1333080"/>
        </a:xfrm>
        <a:prstGeom prst="rect">
          <a:avLst/>
        </a:prstGeom>
        <a:ln w="0">
          <a:noFill/>
        </a:ln>
      </xdr:spPr>
    </xdr:pic>
    <xdr:clientData/>
  </xdr:twoCellAnchor>
  <xdr:twoCellAnchor editAs="oneCell">
    <xdr:from>
      <xdr:col>1</xdr:col>
      <xdr:colOff>0</xdr:colOff>
      <xdr:row>13</xdr:row>
      <xdr:rowOff>0</xdr:rowOff>
    </xdr:from>
    <xdr:to>
      <xdr:col>1</xdr:col>
      <xdr:colOff>1333080</xdr:colOff>
      <xdr:row>13</xdr:row>
      <xdr:rowOff>1333080</xdr:rowOff>
    </xdr:to>
    <xdr:pic>
      <xdr:nvPicPr>
        <xdr:cNvPr id="12" name="Image 13" descr="Picture"/>
        <xdr:cNvPicPr/>
      </xdr:nvPicPr>
      <xdr:blipFill>
        <a:blip r:embed="rId13"/>
        <a:stretch/>
      </xdr:blipFill>
      <xdr:spPr>
        <a:xfrm>
          <a:off x="423000" y="17087760"/>
          <a:ext cx="1333080" cy="1333080"/>
        </a:xfrm>
        <a:prstGeom prst="rect">
          <a:avLst/>
        </a:prstGeom>
        <a:ln w="0">
          <a:noFill/>
        </a:ln>
      </xdr:spPr>
    </xdr:pic>
    <xdr:clientData/>
  </xdr:twoCellAnchor>
  <xdr:twoCellAnchor editAs="oneCell">
    <xdr:from>
      <xdr:col>1</xdr:col>
      <xdr:colOff>0</xdr:colOff>
      <xdr:row>14</xdr:row>
      <xdr:rowOff>0</xdr:rowOff>
    </xdr:from>
    <xdr:to>
      <xdr:col>1</xdr:col>
      <xdr:colOff>1333080</xdr:colOff>
      <xdr:row>14</xdr:row>
      <xdr:rowOff>1333080</xdr:rowOff>
    </xdr:to>
    <xdr:pic>
      <xdr:nvPicPr>
        <xdr:cNvPr id="13" name="Image 14" descr="Picture"/>
        <xdr:cNvPicPr/>
      </xdr:nvPicPr>
      <xdr:blipFill>
        <a:blip r:embed="rId14"/>
        <a:stretch/>
      </xdr:blipFill>
      <xdr:spPr>
        <a:xfrm>
          <a:off x="423000" y="18478440"/>
          <a:ext cx="1333080" cy="1333080"/>
        </a:xfrm>
        <a:prstGeom prst="rect">
          <a:avLst/>
        </a:prstGeom>
        <a:ln w="0">
          <a:noFill/>
        </a:ln>
      </xdr:spPr>
    </xdr:pic>
    <xdr:clientData/>
  </xdr:twoCellAnchor>
  <xdr:twoCellAnchor editAs="oneCell">
    <xdr:from>
      <xdr:col>1</xdr:col>
      <xdr:colOff>0</xdr:colOff>
      <xdr:row>15</xdr:row>
      <xdr:rowOff>0</xdr:rowOff>
    </xdr:from>
    <xdr:to>
      <xdr:col>1</xdr:col>
      <xdr:colOff>1333080</xdr:colOff>
      <xdr:row>15</xdr:row>
      <xdr:rowOff>1333080</xdr:rowOff>
    </xdr:to>
    <xdr:pic>
      <xdr:nvPicPr>
        <xdr:cNvPr id="14" name="Image 15" descr="Picture"/>
        <xdr:cNvPicPr/>
      </xdr:nvPicPr>
      <xdr:blipFill>
        <a:blip r:embed="rId15"/>
        <a:stretch/>
      </xdr:blipFill>
      <xdr:spPr>
        <a:xfrm>
          <a:off x="423000" y="19869120"/>
          <a:ext cx="1333080" cy="1333080"/>
        </a:xfrm>
        <a:prstGeom prst="rect">
          <a:avLst/>
        </a:prstGeom>
        <a:ln w="0">
          <a:noFill/>
        </a:ln>
      </xdr:spPr>
    </xdr:pic>
    <xdr:clientData/>
  </xdr:twoCellAnchor>
  <xdr:twoCellAnchor editAs="oneCell">
    <xdr:from>
      <xdr:col>1</xdr:col>
      <xdr:colOff>0</xdr:colOff>
      <xdr:row>16</xdr:row>
      <xdr:rowOff>0</xdr:rowOff>
    </xdr:from>
    <xdr:to>
      <xdr:col>1</xdr:col>
      <xdr:colOff>1333080</xdr:colOff>
      <xdr:row>16</xdr:row>
      <xdr:rowOff>1333080</xdr:rowOff>
    </xdr:to>
    <xdr:pic>
      <xdr:nvPicPr>
        <xdr:cNvPr id="15" name="Image 16" descr="Picture"/>
        <xdr:cNvPicPr/>
      </xdr:nvPicPr>
      <xdr:blipFill>
        <a:blip r:embed="rId16"/>
        <a:stretch/>
      </xdr:blipFill>
      <xdr:spPr>
        <a:xfrm>
          <a:off x="423000" y="21259800"/>
          <a:ext cx="1333080" cy="1333080"/>
        </a:xfrm>
        <a:prstGeom prst="rect">
          <a:avLst/>
        </a:prstGeom>
        <a:ln w="0">
          <a:noFill/>
        </a:ln>
      </xdr:spPr>
    </xdr:pic>
    <xdr:clientData/>
  </xdr:twoCellAnchor>
  <xdr:twoCellAnchor editAs="oneCell">
    <xdr:from>
      <xdr:col>1</xdr:col>
      <xdr:colOff>0</xdr:colOff>
      <xdr:row>17</xdr:row>
      <xdr:rowOff>0</xdr:rowOff>
    </xdr:from>
    <xdr:to>
      <xdr:col>1</xdr:col>
      <xdr:colOff>1333080</xdr:colOff>
      <xdr:row>17</xdr:row>
      <xdr:rowOff>1333080</xdr:rowOff>
    </xdr:to>
    <xdr:pic>
      <xdr:nvPicPr>
        <xdr:cNvPr id="16" name="Image 17" descr="Picture"/>
        <xdr:cNvPicPr/>
      </xdr:nvPicPr>
      <xdr:blipFill>
        <a:blip r:embed="rId17"/>
        <a:stretch/>
      </xdr:blipFill>
      <xdr:spPr>
        <a:xfrm>
          <a:off x="423000" y="22650480"/>
          <a:ext cx="1333080" cy="1333080"/>
        </a:xfrm>
        <a:prstGeom prst="rect">
          <a:avLst/>
        </a:prstGeom>
        <a:ln w="0">
          <a:noFill/>
        </a:ln>
      </xdr:spPr>
    </xdr:pic>
    <xdr:clientData/>
  </xdr:twoCellAnchor>
  <xdr:twoCellAnchor editAs="oneCell">
    <xdr:from>
      <xdr:col>1</xdr:col>
      <xdr:colOff>0</xdr:colOff>
      <xdr:row>18</xdr:row>
      <xdr:rowOff>0</xdr:rowOff>
    </xdr:from>
    <xdr:to>
      <xdr:col>1</xdr:col>
      <xdr:colOff>1333080</xdr:colOff>
      <xdr:row>18</xdr:row>
      <xdr:rowOff>1333080</xdr:rowOff>
    </xdr:to>
    <xdr:pic>
      <xdr:nvPicPr>
        <xdr:cNvPr id="17" name="Image 18" descr="Picture"/>
        <xdr:cNvPicPr/>
      </xdr:nvPicPr>
      <xdr:blipFill>
        <a:blip r:embed="rId18"/>
        <a:stretch/>
      </xdr:blipFill>
      <xdr:spPr>
        <a:xfrm>
          <a:off x="423000" y="24041160"/>
          <a:ext cx="1333080" cy="1333080"/>
        </a:xfrm>
        <a:prstGeom prst="rect">
          <a:avLst/>
        </a:prstGeom>
        <a:ln w="0">
          <a:noFill/>
        </a:ln>
      </xdr:spPr>
    </xdr:pic>
    <xdr:clientData/>
  </xdr:twoCellAnchor>
  <xdr:twoCellAnchor editAs="oneCell">
    <xdr:from>
      <xdr:col>1</xdr:col>
      <xdr:colOff>0</xdr:colOff>
      <xdr:row>19</xdr:row>
      <xdr:rowOff>0</xdr:rowOff>
    </xdr:from>
    <xdr:to>
      <xdr:col>1</xdr:col>
      <xdr:colOff>1333080</xdr:colOff>
      <xdr:row>19</xdr:row>
      <xdr:rowOff>1333080</xdr:rowOff>
    </xdr:to>
    <xdr:pic>
      <xdr:nvPicPr>
        <xdr:cNvPr id="18" name="Image 19" descr="Picture"/>
        <xdr:cNvPicPr/>
      </xdr:nvPicPr>
      <xdr:blipFill>
        <a:blip r:embed="rId19"/>
        <a:stretch/>
      </xdr:blipFill>
      <xdr:spPr>
        <a:xfrm>
          <a:off x="423000" y="25431840"/>
          <a:ext cx="1333080" cy="1333080"/>
        </a:xfrm>
        <a:prstGeom prst="rect">
          <a:avLst/>
        </a:prstGeom>
        <a:ln w="0">
          <a:noFill/>
        </a:ln>
      </xdr:spPr>
    </xdr:pic>
    <xdr:clientData/>
  </xdr:twoCellAnchor>
  <xdr:twoCellAnchor editAs="oneCell">
    <xdr:from>
      <xdr:col>1</xdr:col>
      <xdr:colOff>0</xdr:colOff>
      <xdr:row>20</xdr:row>
      <xdr:rowOff>0</xdr:rowOff>
    </xdr:from>
    <xdr:to>
      <xdr:col>1</xdr:col>
      <xdr:colOff>1333080</xdr:colOff>
      <xdr:row>20</xdr:row>
      <xdr:rowOff>1333080</xdr:rowOff>
    </xdr:to>
    <xdr:pic>
      <xdr:nvPicPr>
        <xdr:cNvPr id="19" name="Image 20" descr="Picture"/>
        <xdr:cNvPicPr/>
      </xdr:nvPicPr>
      <xdr:blipFill>
        <a:blip r:embed="rId20"/>
        <a:stretch/>
      </xdr:blipFill>
      <xdr:spPr>
        <a:xfrm>
          <a:off x="423000" y="26822520"/>
          <a:ext cx="1333080" cy="1333080"/>
        </a:xfrm>
        <a:prstGeom prst="rect">
          <a:avLst/>
        </a:prstGeom>
        <a:ln w="0">
          <a:noFill/>
        </a:ln>
      </xdr:spPr>
    </xdr:pic>
    <xdr:clientData/>
  </xdr:twoCellAnchor>
  <xdr:twoCellAnchor editAs="oneCell">
    <xdr:from>
      <xdr:col>1</xdr:col>
      <xdr:colOff>0</xdr:colOff>
      <xdr:row>21</xdr:row>
      <xdr:rowOff>0</xdr:rowOff>
    </xdr:from>
    <xdr:to>
      <xdr:col>1</xdr:col>
      <xdr:colOff>885600</xdr:colOff>
      <xdr:row>21</xdr:row>
      <xdr:rowOff>1333080</xdr:rowOff>
    </xdr:to>
    <xdr:pic>
      <xdr:nvPicPr>
        <xdr:cNvPr id="20" name="Image 21" descr="Picture"/>
        <xdr:cNvPicPr/>
      </xdr:nvPicPr>
      <xdr:blipFill>
        <a:blip r:embed="rId21"/>
        <a:stretch/>
      </xdr:blipFill>
      <xdr:spPr>
        <a:xfrm>
          <a:off x="423000" y="28213200"/>
          <a:ext cx="885600" cy="1333080"/>
        </a:xfrm>
        <a:prstGeom prst="rect">
          <a:avLst/>
        </a:prstGeom>
        <a:ln w="0">
          <a:noFill/>
        </a:ln>
      </xdr:spPr>
    </xdr:pic>
    <xdr:clientData/>
  </xdr:twoCellAnchor>
  <xdr:twoCellAnchor editAs="oneCell">
    <xdr:from>
      <xdr:col>1</xdr:col>
      <xdr:colOff>0</xdr:colOff>
      <xdr:row>22</xdr:row>
      <xdr:rowOff>0</xdr:rowOff>
    </xdr:from>
    <xdr:to>
      <xdr:col>1</xdr:col>
      <xdr:colOff>1333080</xdr:colOff>
      <xdr:row>22</xdr:row>
      <xdr:rowOff>1333080</xdr:rowOff>
    </xdr:to>
    <xdr:pic>
      <xdr:nvPicPr>
        <xdr:cNvPr id="21" name="Image 22" descr="Picture"/>
        <xdr:cNvPicPr/>
      </xdr:nvPicPr>
      <xdr:blipFill>
        <a:blip r:embed="rId22"/>
        <a:stretch/>
      </xdr:blipFill>
      <xdr:spPr>
        <a:xfrm>
          <a:off x="423000" y="29603880"/>
          <a:ext cx="1333080" cy="1333080"/>
        </a:xfrm>
        <a:prstGeom prst="rect">
          <a:avLst/>
        </a:prstGeom>
        <a:ln w="0">
          <a:noFill/>
        </a:ln>
      </xdr:spPr>
    </xdr:pic>
    <xdr:clientData/>
  </xdr:twoCellAnchor>
  <xdr:twoCellAnchor editAs="oneCell">
    <xdr:from>
      <xdr:col>1</xdr:col>
      <xdr:colOff>0</xdr:colOff>
      <xdr:row>23</xdr:row>
      <xdr:rowOff>0</xdr:rowOff>
    </xdr:from>
    <xdr:to>
      <xdr:col>1</xdr:col>
      <xdr:colOff>1333080</xdr:colOff>
      <xdr:row>23</xdr:row>
      <xdr:rowOff>1333080</xdr:rowOff>
    </xdr:to>
    <xdr:pic>
      <xdr:nvPicPr>
        <xdr:cNvPr id="22" name="Image 23" descr="Picture"/>
        <xdr:cNvPicPr/>
      </xdr:nvPicPr>
      <xdr:blipFill>
        <a:blip r:embed="rId23"/>
        <a:stretch/>
      </xdr:blipFill>
      <xdr:spPr>
        <a:xfrm>
          <a:off x="423000" y="30994200"/>
          <a:ext cx="1333080" cy="1333080"/>
        </a:xfrm>
        <a:prstGeom prst="rect">
          <a:avLst/>
        </a:prstGeom>
        <a:ln w="0">
          <a:noFill/>
        </a:ln>
      </xdr:spPr>
    </xdr:pic>
    <xdr:clientData/>
  </xdr:twoCellAnchor>
  <xdr:twoCellAnchor editAs="oneCell">
    <xdr:from>
      <xdr:col>1</xdr:col>
      <xdr:colOff>0</xdr:colOff>
      <xdr:row>24</xdr:row>
      <xdr:rowOff>0</xdr:rowOff>
    </xdr:from>
    <xdr:to>
      <xdr:col>1</xdr:col>
      <xdr:colOff>1333080</xdr:colOff>
      <xdr:row>24</xdr:row>
      <xdr:rowOff>1333080</xdr:rowOff>
    </xdr:to>
    <xdr:pic>
      <xdr:nvPicPr>
        <xdr:cNvPr id="23" name="Image 24" descr="Picture"/>
        <xdr:cNvPicPr/>
      </xdr:nvPicPr>
      <xdr:blipFill>
        <a:blip r:embed="rId24"/>
        <a:stretch/>
      </xdr:blipFill>
      <xdr:spPr>
        <a:xfrm>
          <a:off x="423000" y="32384880"/>
          <a:ext cx="1333080" cy="1333080"/>
        </a:xfrm>
        <a:prstGeom prst="rect">
          <a:avLst/>
        </a:prstGeom>
        <a:ln w="0">
          <a:noFill/>
        </a:ln>
      </xdr:spPr>
    </xdr:pic>
    <xdr:clientData/>
  </xdr:twoCellAnchor>
  <xdr:twoCellAnchor editAs="oneCell">
    <xdr:from>
      <xdr:col>1</xdr:col>
      <xdr:colOff>0</xdr:colOff>
      <xdr:row>25</xdr:row>
      <xdr:rowOff>0</xdr:rowOff>
    </xdr:from>
    <xdr:to>
      <xdr:col>1</xdr:col>
      <xdr:colOff>1333080</xdr:colOff>
      <xdr:row>25</xdr:row>
      <xdr:rowOff>1333080</xdr:rowOff>
    </xdr:to>
    <xdr:pic>
      <xdr:nvPicPr>
        <xdr:cNvPr id="24" name="Image 25" descr="Picture"/>
        <xdr:cNvPicPr/>
      </xdr:nvPicPr>
      <xdr:blipFill>
        <a:blip r:embed="rId25"/>
        <a:stretch/>
      </xdr:blipFill>
      <xdr:spPr>
        <a:xfrm>
          <a:off x="423000" y="33775560"/>
          <a:ext cx="1333080" cy="1333080"/>
        </a:xfrm>
        <a:prstGeom prst="rect">
          <a:avLst/>
        </a:prstGeom>
        <a:ln w="0">
          <a:noFill/>
        </a:ln>
      </xdr:spPr>
    </xdr:pic>
    <xdr:clientData/>
  </xdr:twoCellAnchor>
  <xdr:twoCellAnchor editAs="oneCell">
    <xdr:from>
      <xdr:col>1</xdr:col>
      <xdr:colOff>0</xdr:colOff>
      <xdr:row>26</xdr:row>
      <xdr:rowOff>0</xdr:rowOff>
    </xdr:from>
    <xdr:to>
      <xdr:col>1</xdr:col>
      <xdr:colOff>1333080</xdr:colOff>
      <xdr:row>26</xdr:row>
      <xdr:rowOff>1333080</xdr:rowOff>
    </xdr:to>
    <xdr:pic>
      <xdr:nvPicPr>
        <xdr:cNvPr id="25" name="Image 26" descr="Picture"/>
        <xdr:cNvPicPr/>
      </xdr:nvPicPr>
      <xdr:blipFill>
        <a:blip r:embed="rId26"/>
        <a:stretch/>
      </xdr:blipFill>
      <xdr:spPr>
        <a:xfrm>
          <a:off x="423000" y="35166240"/>
          <a:ext cx="1333080" cy="1333080"/>
        </a:xfrm>
        <a:prstGeom prst="rect">
          <a:avLst/>
        </a:prstGeom>
        <a:ln w="0">
          <a:noFill/>
        </a:ln>
      </xdr:spPr>
    </xdr:pic>
    <xdr:clientData/>
  </xdr:twoCellAnchor>
  <xdr:twoCellAnchor editAs="oneCell">
    <xdr:from>
      <xdr:col>1</xdr:col>
      <xdr:colOff>0</xdr:colOff>
      <xdr:row>27</xdr:row>
      <xdr:rowOff>0</xdr:rowOff>
    </xdr:from>
    <xdr:to>
      <xdr:col>1</xdr:col>
      <xdr:colOff>1333080</xdr:colOff>
      <xdr:row>27</xdr:row>
      <xdr:rowOff>1333080</xdr:rowOff>
    </xdr:to>
    <xdr:pic>
      <xdr:nvPicPr>
        <xdr:cNvPr id="26" name="Image 27" descr="Picture"/>
        <xdr:cNvPicPr/>
      </xdr:nvPicPr>
      <xdr:blipFill>
        <a:blip r:embed="rId27"/>
        <a:stretch/>
      </xdr:blipFill>
      <xdr:spPr>
        <a:xfrm>
          <a:off x="423000" y="36556920"/>
          <a:ext cx="1333080" cy="1333080"/>
        </a:xfrm>
        <a:prstGeom prst="rect">
          <a:avLst/>
        </a:prstGeom>
        <a:ln w="0">
          <a:noFill/>
        </a:ln>
      </xdr:spPr>
    </xdr:pic>
    <xdr:clientData/>
  </xdr:twoCellAnchor>
  <xdr:twoCellAnchor editAs="oneCell">
    <xdr:from>
      <xdr:col>1</xdr:col>
      <xdr:colOff>0</xdr:colOff>
      <xdr:row>28</xdr:row>
      <xdr:rowOff>0</xdr:rowOff>
    </xdr:from>
    <xdr:to>
      <xdr:col>1</xdr:col>
      <xdr:colOff>1333080</xdr:colOff>
      <xdr:row>28</xdr:row>
      <xdr:rowOff>1333080</xdr:rowOff>
    </xdr:to>
    <xdr:pic>
      <xdr:nvPicPr>
        <xdr:cNvPr id="27" name="Image 28" descr="Picture"/>
        <xdr:cNvPicPr/>
      </xdr:nvPicPr>
      <xdr:blipFill>
        <a:blip r:embed="rId28"/>
        <a:stretch/>
      </xdr:blipFill>
      <xdr:spPr>
        <a:xfrm>
          <a:off x="423000" y="37947600"/>
          <a:ext cx="1333080" cy="1333080"/>
        </a:xfrm>
        <a:prstGeom prst="rect">
          <a:avLst/>
        </a:prstGeom>
        <a:ln w="0">
          <a:noFill/>
        </a:ln>
      </xdr:spPr>
    </xdr:pic>
    <xdr:clientData/>
  </xdr:twoCellAnchor>
  <xdr:twoCellAnchor editAs="oneCell">
    <xdr:from>
      <xdr:col>1</xdr:col>
      <xdr:colOff>0</xdr:colOff>
      <xdr:row>29</xdr:row>
      <xdr:rowOff>0</xdr:rowOff>
    </xdr:from>
    <xdr:to>
      <xdr:col>1</xdr:col>
      <xdr:colOff>1333080</xdr:colOff>
      <xdr:row>29</xdr:row>
      <xdr:rowOff>885600</xdr:rowOff>
    </xdr:to>
    <xdr:pic>
      <xdr:nvPicPr>
        <xdr:cNvPr id="28" name="Image 29" descr="Picture"/>
        <xdr:cNvPicPr/>
      </xdr:nvPicPr>
      <xdr:blipFill>
        <a:blip r:embed="rId29"/>
        <a:stretch/>
      </xdr:blipFill>
      <xdr:spPr>
        <a:xfrm>
          <a:off x="423000" y="39338280"/>
          <a:ext cx="1333080" cy="885600"/>
        </a:xfrm>
        <a:prstGeom prst="rect">
          <a:avLst/>
        </a:prstGeom>
        <a:ln w="0">
          <a:noFill/>
        </a:ln>
      </xdr:spPr>
    </xdr:pic>
    <xdr:clientData/>
  </xdr:twoCellAnchor>
  <xdr:twoCellAnchor editAs="oneCell">
    <xdr:from>
      <xdr:col>1</xdr:col>
      <xdr:colOff>0</xdr:colOff>
      <xdr:row>30</xdr:row>
      <xdr:rowOff>0</xdr:rowOff>
    </xdr:from>
    <xdr:to>
      <xdr:col>1</xdr:col>
      <xdr:colOff>1333080</xdr:colOff>
      <xdr:row>30</xdr:row>
      <xdr:rowOff>1333080</xdr:rowOff>
    </xdr:to>
    <xdr:pic>
      <xdr:nvPicPr>
        <xdr:cNvPr id="29" name="Image 30" descr="Picture"/>
        <xdr:cNvPicPr/>
      </xdr:nvPicPr>
      <xdr:blipFill>
        <a:blip r:embed="rId30"/>
        <a:stretch/>
      </xdr:blipFill>
      <xdr:spPr>
        <a:xfrm>
          <a:off x="423000" y="40728960"/>
          <a:ext cx="1333080" cy="1333080"/>
        </a:xfrm>
        <a:prstGeom prst="rect">
          <a:avLst/>
        </a:prstGeom>
        <a:ln w="0">
          <a:noFill/>
        </a:ln>
      </xdr:spPr>
    </xdr:pic>
    <xdr:clientData/>
  </xdr:twoCellAnchor>
  <xdr:twoCellAnchor editAs="oneCell">
    <xdr:from>
      <xdr:col>1</xdr:col>
      <xdr:colOff>0</xdr:colOff>
      <xdr:row>31</xdr:row>
      <xdr:rowOff>0</xdr:rowOff>
    </xdr:from>
    <xdr:to>
      <xdr:col>1</xdr:col>
      <xdr:colOff>1333080</xdr:colOff>
      <xdr:row>31</xdr:row>
      <xdr:rowOff>1333080</xdr:rowOff>
    </xdr:to>
    <xdr:pic>
      <xdr:nvPicPr>
        <xdr:cNvPr id="30" name="Image 31" descr="Picture"/>
        <xdr:cNvPicPr/>
      </xdr:nvPicPr>
      <xdr:blipFill>
        <a:blip r:embed="rId31"/>
        <a:stretch/>
      </xdr:blipFill>
      <xdr:spPr>
        <a:xfrm>
          <a:off x="423000" y="42119640"/>
          <a:ext cx="1333080" cy="1333080"/>
        </a:xfrm>
        <a:prstGeom prst="rect">
          <a:avLst/>
        </a:prstGeom>
        <a:ln w="0">
          <a:noFill/>
        </a:ln>
      </xdr:spPr>
    </xdr:pic>
    <xdr:clientData/>
  </xdr:twoCellAnchor>
  <xdr:twoCellAnchor editAs="oneCell">
    <xdr:from>
      <xdr:col>1</xdr:col>
      <xdr:colOff>0</xdr:colOff>
      <xdr:row>32</xdr:row>
      <xdr:rowOff>0</xdr:rowOff>
    </xdr:from>
    <xdr:to>
      <xdr:col>1</xdr:col>
      <xdr:colOff>1333080</xdr:colOff>
      <xdr:row>32</xdr:row>
      <xdr:rowOff>885600</xdr:rowOff>
    </xdr:to>
    <xdr:pic>
      <xdr:nvPicPr>
        <xdr:cNvPr id="31" name="Image 32" descr="Picture"/>
        <xdr:cNvPicPr/>
      </xdr:nvPicPr>
      <xdr:blipFill>
        <a:blip r:embed="rId32"/>
        <a:stretch/>
      </xdr:blipFill>
      <xdr:spPr>
        <a:xfrm>
          <a:off x="423000" y="43510320"/>
          <a:ext cx="1333080" cy="885600"/>
        </a:xfrm>
        <a:prstGeom prst="rect">
          <a:avLst/>
        </a:prstGeom>
        <a:ln w="0">
          <a:noFill/>
        </a:ln>
      </xdr:spPr>
    </xdr:pic>
    <xdr:clientData/>
  </xdr:twoCellAnchor>
  <xdr:twoCellAnchor editAs="oneCell">
    <xdr:from>
      <xdr:col>1</xdr:col>
      <xdr:colOff>0</xdr:colOff>
      <xdr:row>33</xdr:row>
      <xdr:rowOff>0</xdr:rowOff>
    </xdr:from>
    <xdr:to>
      <xdr:col>1</xdr:col>
      <xdr:colOff>1333080</xdr:colOff>
      <xdr:row>33</xdr:row>
      <xdr:rowOff>1333080</xdr:rowOff>
    </xdr:to>
    <xdr:pic>
      <xdr:nvPicPr>
        <xdr:cNvPr id="32" name="Image 33" descr="Picture"/>
        <xdr:cNvPicPr/>
      </xdr:nvPicPr>
      <xdr:blipFill>
        <a:blip r:embed="rId33"/>
        <a:stretch/>
      </xdr:blipFill>
      <xdr:spPr>
        <a:xfrm>
          <a:off x="423000" y="44901000"/>
          <a:ext cx="1333080" cy="1333080"/>
        </a:xfrm>
        <a:prstGeom prst="rect">
          <a:avLst/>
        </a:prstGeom>
        <a:ln w="0">
          <a:noFill/>
        </a:ln>
      </xdr:spPr>
    </xdr:pic>
    <xdr:clientData/>
  </xdr:twoCellAnchor>
  <xdr:twoCellAnchor editAs="oneCell">
    <xdr:from>
      <xdr:col>1</xdr:col>
      <xdr:colOff>0</xdr:colOff>
      <xdr:row>34</xdr:row>
      <xdr:rowOff>0</xdr:rowOff>
    </xdr:from>
    <xdr:to>
      <xdr:col>1</xdr:col>
      <xdr:colOff>1333080</xdr:colOff>
      <xdr:row>34</xdr:row>
      <xdr:rowOff>1333080</xdr:rowOff>
    </xdr:to>
    <xdr:pic>
      <xdr:nvPicPr>
        <xdr:cNvPr id="33" name="Image 34" descr="Picture"/>
        <xdr:cNvPicPr/>
      </xdr:nvPicPr>
      <xdr:blipFill>
        <a:blip r:embed="rId34"/>
        <a:stretch/>
      </xdr:blipFill>
      <xdr:spPr>
        <a:xfrm>
          <a:off x="423000" y="46291680"/>
          <a:ext cx="1333080" cy="1333080"/>
        </a:xfrm>
        <a:prstGeom prst="rect">
          <a:avLst/>
        </a:prstGeom>
        <a:ln w="0">
          <a:noFill/>
        </a:ln>
      </xdr:spPr>
    </xdr:pic>
    <xdr:clientData/>
  </xdr:twoCellAnchor>
  <xdr:twoCellAnchor editAs="oneCell">
    <xdr:from>
      <xdr:col>1</xdr:col>
      <xdr:colOff>0</xdr:colOff>
      <xdr:row>35</xdr:row>
      <xdr:rowOff>0</xdr:rowOff>
    </xdr:from>
    <xdr:to>
      <xdr:col>1</xdr:col>
      <xdr:colOff>1333080</xdr:colOff>
      <xdr:row>35</xdr:row>
      <xdr:rowOff>1333080</xdr:rowOff>
    </xdr:to>
    <xdr:pic>
      <xdr:nvPicPr>
        <xdr:cNvPr id="34" name="Image 35" descr="Picture"/>
        <xdr:cNvPicPr/>
      </xdr:nvPicPr>
      <xdr:blipFill>
        <a:blip r:embed="rId35"/>
        <a:stretch/>
      </xdr:blipFill>
      <xdr:spPr>
        <a:xfrm>
          <a:off x="423000" y="47682000"/>
          <a:ext cx="1333080" cy="1333080"/>
        </a:xfrm>
        <a:prstGeom prst="rect">
          <a:avLst/>
        </a:prstGeom>
        <a:ln w="0">
          <a:noFill/>
        </a:ln>
      </xdr:spPr>
    </xdr:pic>
    <xdr:clientData/>
  </xdr:twoCellAnchor>
  <xdr:twoCellAnchor editAs="oneCell">
    <xdr:from>
      <xdr:col>1</xdr:col>
      <xdr:colOff>0</xdr:colOff>
      <xdr:row>36</xdr:row>
      <xdr:rowOff>0</xdr:rowOff>
    </xdr:from>
    <xdr:to>
      <xdr:col>1</xdr:col>
      <xdr:colOff>1333080</xdr:colOff>
      <xdr:row>36</xdr:row>
      <xdr:rowOff>1333080</xdr:rowOff>
    </xdr:to>
    <xdr:pic>
      <xdr:nvPicPr>
        <xdr:cNvPr id="35" name="Image 36" descr="Picture"/>
        <xdr:cNvPicPr/>
      </xdr:nvPicPr>
      <xdr:blipFill>
        <a:blip r:embed="rId36"/>
        <a:stretch/>
      </xdr:blipFill>
      <xdr:spPr>
        <a:xfrm>
          <a:off x="423000" y="49072680"/>
          <a:ext cx="1333080" cy="1333080"/>
        </a:xfrm>
        <a:prstGeom prst="rect">
          <a:avLst/>
        </a:prstGeom>
        <a:ln w="0">
          <a:noFill/>
        </a:ln>
      </xdr:spPr>
    </xdr:pic>
    <xdr:clientData/>
  </xdr:twoCellAnchor>
  <xdr:twoCellAnchor editAs="oneCell">
    <xdr:from>
      <xdr:col>1</xdr:col>
      <xdr:colOff>0</xdr:colOff>
      <xdr:row>37</xdr:row>
      <xdr:rowOff>0</xdr:rowOff>
    </xdr:from>
    <xdr:to>
      <xdr:col>1</xdr:col>
      <xdr:colOff>856800</xdr:colOff>
      <xdr:row>37</xdr:row>
      <xdr:rowOff>1333080</xdr:rowOff>
    </xdr:to>
    <xdr:pic>
      <xdr:nvPicPr>
        <xdr:cNvPr id="36" name="Image 37" descr="Picture"/>
        <xdr:cNvPicPr/>
      </xdr:nvPicPr>
      <xdr:blipFill>
        <a:blip r:embed="rId37"/>
        <a:stretch/>
      </xdr:blipFill>
      <xdr:spPr>
        <a:xfrm>
          <a:off x="423000" y="50463360"/>
          <a:ext cx="856800" cy="1333080"/>
        </a:xfrm>
        <a:prstGeom prst="rect">
          <a:avLst/>
        </a:prstGeom>
        <a:ln w="0">
          <a:noFill/>
        </a:ln>
      </xdr:spPr>
    </xdr:pic>
    <xdr:clientData/>
  </xdr:twoCellAnchor>
  <xdr:twoCellAnchor editAs="oneCell">
    <xdr:from>
      <xdr:col>1</xdr:col>
      <xdr:colOff>0</xdr:colOff>
      <xdr:row>38</xdr:row>
      <xdr:rowOff>0</xdr:rowOff>
    </xdr:from>
    <xdr:to>
      <xdr:col>1</xdr:col>
      <xdr:colOff>1333080</xdr:colOff>
      <xdr:row>38</xdr:row>
      <xdr:rowOff>1333080</xdr:rowOff>
    </xdr:to>
    <xdr:pic>
      <xdr:nvPicPr>
        <xdr:cNvPr id="37" name="Image 38" descr="Picture"/>
        <xdr:cNvPicPr/>
      </xdr:nvPicPr>
      <xdr:blipFill>
        <a:blip r:embed="rId38"/>
        <a:stretch/>
      </xdr:blipFill>
      <xdr:spPr>
        <a:xfrm>
          <a:off x="423000" y="51854040"/>
          <a:ext cx="1333080" cy="1333080"/>
        </a:xfrm>
        <a:prstGeom prst="rect">
          <a:avLst/>
        </a:prstGeom>
        <a:ln w="0">
          <a:noFill/>
        </a:ln>
      </xdr:spPr>
    </xdr:pic>
    <xdr:clientData/>
  </xdr:twoCellAnchor>
  <xdr:twoCellAnchor editAs="oneCell">
    <xdr:from>
      <xdr:col>1</xdr:col>
      <xdr:colOff>0</xdr:colOff>
      <xdr:row>39</xdr:row>
      <xdr:rowOff>0</xdr:rowOff>
    </xdr:from>
    <xdr:to>
      <xdr:col>1</xdr:col>
      <xdr:colOff>1333080</xdr:colOff>
      <xdr:row>39</xdr:row>
      <xdr:rowOff>1333080</xdr:rowOff>
    </xdr:to>
    <xdr:pic>
      <xdr:nvPicPr>
        <xdr:cNvPr id="38" name="Image 39" descr="Picture"/>
        <xdr:cNvPicPr/>
      </xdr:nvPicPr>
      <xdr:blipFill>
        <a:blip r:embed="rId39"/>
        <a:stretch/>
      </xdr:blipFill>
      <xdr:spPr>
        <a:xfrm>
          <a:off x="423000" y="53244720"/>
          <a:ext cx="1333080" cy="1333080"/>
        </a:xfrm>
        <a:prstGeom prst="rect">
          <a:avLst/>
        </a:prstGeom>
        <a:ln w="0">
          <a:noFill/>
        </a:ln>
      </xdr:spPr>
    </xdr:pic>
    <xdr:clientData/>
  </xdr:twoCellAnchor>
  <xdr:twoCellAnchor editAs="oneCell">
    <xdr:from>
      <xdr:col>1</xdr:col>
      <xdr:colOff>0</xdr:colOff>
      <xdr:row>40</xdr:row>
      <xdr:rowOff>0</xdr:rowOff>
    </xdr:from>
    <xdr:to>
      <xdr:col>1</xdr:col>
      <xdr:colOff>1333080</xdr:colOff>
      <xdr:row>40</xdr:row>
      <xdr:rowOff>1333080</xdr:rowOff>
    </xdr:to>
    <xdr:pic>
      <xdr:nvPicPr>
        <xdr:cNvPr id="39" name="Image 40" descr="Picture"/>
        <xdr:cNvPicPr/>
      </xdr:nvPicPr>
      <xdr:blipFill>
        <a:blip r:embed="rId40"/>
        <a:stretch/>
      </xdr:blipFill>
      <xdr:spPr>
        <a:xfrm>
          <a:off x="423000" y="54635400"/>
          <a:ext cx="1333080" cy="1333080"/>
        </a:xfrm>
        <a:prstGeom prst="rect">
          <a:avLst/>
        </a:prstGeom>
        <a:ln w="0">
          <a:noFill/>
        </a:ln>
      </xdr:spPr>
    </xdr:pic>
    <xdr:clientData/>
  </xdr:twoCellAnchor>
  <xdr:twoCellAnchor editAs="oneCell">
    <xdr:from>
      <xdr:col>1</xdr:col>
      <xdr:colOff>0</xdr:colOff>
      <xdr:row>41</xdr:row>
      <xdr:rowOff>0</xdr:rowOff>
    </xdr:from>
    <xdr:to>
      <xdr:col>1</xdr:col>
      <xdr:colOff>1333080</xdr:colOff>
      <xdr:row>41</xdr:row>
      <xdr:rowOff>1333080</xdr:rowOff>
    </xdr:to>
    <xdr:pic>
      <xdr:nvPicPr>
        <xdr:cNvPr id="40" name="Image 41" descr="Picture"/>
        <xdr:cNvPicPr/>
      </xdr:nvPicPr>
      <xdr:blipFill>
        <a:blip r:embed="rId41"/>
        <a:stretch/>
      </xdr:blipFill>
      <xdr:spPr>
        <a:xfrm>
          <a:off x="423000" y="56026080"/>
          <a:ext cx="1333080" cy="1333080"/>
        </a:xfrm>
        <a:prstGeom prst="rect">
          <a:avLst/>
        </a:prstGeom>
        <a:ln w="0">
          <a:noFill/>
        </a:ln>
      </xdr:spPr>
    </xdr:pic>
    <xdr:clientData/>
  </xdr:twoCellAnchor>
  <xdr:twoCellAnchor editAs="oneCell">
    <xdr:from>
      <xdr:col>1</xdr:col>
      <xdr:colOff>0</xdr:colOff>
      <xdr:row>42</xdr:row>
      <xdr:rowOff>0</xdr:rowOff>
    </xdr:from>
    <xdr:to>
      <xdr:col>1</xdr:col>
      <xdr:colOff>1333080</xdr:colOff>
      <xdr:row>42</xdr:row>
      <xdr:rowOff>1333080</xdr:rowOff>
    </xdr:to>
    <xdr:pic>
      <xdr:nvPicPr>
        <xdr:cNvPr id="41" name="Image 42" descr="Picture"/>
        <xdr:cNvPicPr/>
      </xdr:nvPicPr>
      <xdr:blipFill>
        <a:blip r:embed="rId42"/>
        <a:stretch/>
      </xdr:blipFill>
      <xdr:spPr>
        <a:xfrm>
          <a:off x="423000" y="57416760"/>
          <a:ext cx="1333080" cy="1333080"/>
        </a:xfrm>
        <a:prstGeom prst="rect">
          <a:avLst/>
        </a:prstGeom>
        <a:ln w="0">
          <a:noFill/>
        </a:ln>
      </xdr:spPr>
    </xdr:pic>
    <xdr:clientData/>
  </xdr:twoCellAnchor>
  <xdr:twoCellAnchor editAs="oneCell">
    <xdr:from>
      <xdr:col>1</xdr:col>
      <xdr:colOff>0</xdr:colOff>
      <xdr:row>43</xdr:row>
      <xdr:rowOff>0</xdr:rowOff>
    </xdr:from>
    <xdr:to>
      <xdr:col>1</xdr:col>
      <xdr:colOff>1333080</xdr:colOff>
      <xdr:row>43</xdr:row>
      <xdr:rowOff>1333080</xdr:rowOff>
    </xdr:to>
    <xdr:pic>
      <xdr:nvPicPr>
        <xdr:cNvPr id="42" name="Image 43" descr="Picture"/>
        <xdr:cNvPicPr/>
      </xdr:nvPicPr>
      <xdr:blipFill>
        <a:blip r:embed="rId43"/>
        <a:stretch/>
      </xdr:blipFill>
      <xdr:spPr>
        <a:xfrm>
          <a:off x="423000" y="58807440"/>
          <a:ext cx="1333080" cy="1333080"/>
        </a:xfrm>
        <a:prstGeom prst="rect">
          <a:avLst/>
        </a:prstGeom>
        <a:ln w="0">
          <a:noFill/>
        </a:ln>
      </xdr:spPr>
    </xdr:pic>
    <xdr:clientData/>
  </xdr:twoCellAnchor>
  <xdr:twoCellAnchor editAs="oneCell">
    <xdr:from>
      <xdr:col>1</xdr:col>
      <xdr:colOff>0</xdr:colOff>
      <xdr:row>44</xdr:row>
      <xdr:rowOff>0</xdr:rowOff>
    </xdr:from>
    <xdr:to>
      <xdr:col>1</xdr:col>
      <xdr:colOff>885600</xdr:colOff>
      <xdr:row>44</xdr:row>
      <xdr:rowOff>1333080</xdr:rowOff>
    </xdr:to>
    <xdr:pic>
      <xdr:nvPicPr>
        <xdr:cNvPr id="43" name="Image 44" descr="Picture"/>
        <xdr:cNvPicPr/>
      </xdr:nvPicPr>
      <xdr:blipFill>
        <a:blip r:embed="rId44"/>
        <a:stretch/>
      </xdr:blipFill>
      <xdr:spPr>
        <a:xfrm>
          <a:off x="423000" y="60198120"/>
          <a:ext cx="885600" cy="1333080"/>
        </a:xfrm>
        <a:prstGeom prst="rect">
          <a:avLst/>
        </a:prstGeom>
        <a:ln w="0">
          <a:noFill/>
        </a:ln>
      </xdr:spPr>
    </xdr:pic>
    <xdr:clientData/>
  </xdr:twoCellAnchor>
  <xdr:twoCellAnchor editAs="oneCell">
    <xdr:from>
      <xdr:col>1</xdr:col>
      <xdr:colOff>0</xdr:colOff>
      <xdr:row>45</xdr:row>
      <xdr:rowOff>0</xdr:rowOff>
    </xdr:from>
    <xdr:to>
      <xdr:col>1</xdr:col>
      <xdr:colOff>1333080</xdr:colOff>
      <xdr:row>45</xdr:row>
      <xdr:rowOff>1333080</xdr:rowOff>
    </xdr:to>
    <xdr:pic>
      <xdr:nvPicPr>
        <xdr:cNvPr id="44" name="Image 45" descr="Picture"/>
        <xdr:cNvPicPr/>
      </xdr:nvPicPr>
      <xdr:blipFill>
        <a:blip r:embed="rId45"/>
        <a:stretch/>
      </xdr:blipFill>
      <xdr:spPr>
        <a:xfrm>
          <a:off x="423000" y="61588800"/>
          <a:ext cx="1333080" cy="1333080"/>
        </a:xfrm>
        <a:prstGeom prst="rect">
          <a:avLst/>
        </a:prstGeom>
        <a:ln w="0">
          <a:noFill/>
        </a:ln>
      </xdr:spPr>
    </xdr:pic>
    <xdr:clientData/>
  </xdr:twoCellAnchor>
  <xdr:twoCellAnchor editAs="oneCell">
    <xdr:from>
      <xdr:col>1</xdr:col>
      <xdr:colOff>0</xdr:colOff>
      <xdr:row>46</xdr:row>
      <xdr:rowOff>0</xdr:rowOff>
    </xdr:from>
    <xdr:to>
      <xdr:col>1</xdr:col>
      <xdr:colOff>1333080</xdr:colOff>
      <xdr:row>46</xdr:row>
      <xdr:rowOff>1333080</xdr:rowOff>
    </xdr:to>
    <xdr:pic>
      <xdr:nvPicPr>
        <xdr:cNvPr id="45" name="Image 46" descr="Picture"/>
        <xdr:cNvPicPr/>
      </xdr:nvPicPr>
      <xdr:blipFill>
        <a:blip r:embed="rId46"/>
        <a:stretch/>
      </xdr:blipFill>
      <xdr:spPr>
        <a:xfrm>
          <a:off x="423000" y="62979480"/>
          <a:ext cx="1333080" cy="1333080"/>
        </a:xfrm>
        <a:prstGeom prst="rect">
          <a:avLst/>
        </a:prstGeom>
        <a:ln w="0">
          <a:noFill/>
        </a:ln>
      </xdr:spPr>
    </xdr:pic>
    <xdr:clientData/>
  </xdr:twoCellAnchor>
  <xdr:twoCellAnchor editAs="oneCell">
    <xdr:from>
      <xdr:col>1</xdr:col>
      <xdr:colOff>0</xdr:colOff>
      <xdr:row>47</xdr:row>
      <xdr:rowOff>0</xdr:rowOff>
    </xdr:from>
    <xdr:to>
      <xdr:col>1</xdr:col>
      <xdr:colOff>1333080</xdr:colOff>
      <xdr:row>47</xdr:row>
      <xdr:rowOff>885600</xdr:rowOff>
    </xdr:to>
    <xdr:pic>
      <xdr:nvPicPr>
        <xdr:cNvPr id="46" name="Image 47" descr="Picture"/>
        <xdr:cNvPicPr/>
      </xdr:nvPicPr>
      <xdr:blipFill>
        <a:blip r:embed="rId47"/>
        <a:stretch/>
      </xdr:blipFill>
      <xdr:spPr>
        <a:xfrm>
          <a:off x="423000" y="64369800"/>
          <a:ext cx="1333080" cy="885600"/>
        </a:xfrm>
        <a:prstGeom prst="rect">
          <a:avLst/>
        </a:prstGeom>
        <a:ln w="0">
          <a:noFill/>
        </a:ln>
      </xdr:spPr>
    </xdr:pic>
    <xdr:clientData/>
  </xdr:twoCellAnchor>
  <xdr:twoCellAnchor editAs="oneCell">
    <xdr:from>
      <xdr:col>1</xdr:col>
      <xdr:colOff>0</xdr:colOff>
      <xdr:row>48</xdr:row>
      <xdr:rowOff>0</xdr:rowOff>
    </xdr:from>
    <xdr:to>
      <xdr:col>1</xdr:col>
      <xdr:colOff>1333080</xdr:colOff>
      <xdr:row>48</xdr:row>
      <xdr:rowOff>1333080</xdr:rowOff>
    </xdr:to>
    <xdr:pic>
      <xdr:nvPicPr>
        <xdr:cNvPr id="47" name="Image 48" descr="Picture"/>
        <xdr:cNvPicPr/>
      </xdr:nvPicPr>
      <xdr:blipFill>
        <a:blip r:embed="rId48"/>
        <a:stretch/>
      </xdr:blipFill>
      <xdr:spPr>
        <a:xfrm>
          <a:off x="423000" y="65760480"/>
          <a:ext cx="1333080" cy="1333080"/>
        </a:xfrm>
        <a:prstGeom prst="rect">
          <a:avLst/>
        </a:prstGeom>
        <a:ln w="0">
          <a:noFill/>
        </a:ln>
      </xdr:spPr>
    </xdr:pic>
    <xdr:clientData/>
  </xdr:twoCellAnchor>
  <xdr:twoCellAnchor editAs="oneCell">
    <xdr:from>
      <xdr:col>1</xdr:col>
      <xdr:colOff>0</xdr:colOff>
      <xdr:row>49</xdr:row>
      <xdr:rowOff>0</xdr:rowOff>
    </xdr:from>
    <xdr:to>
      <xdr:col>1</xdr:col>
      <xdr:colOff>1333080</xdr:colOff>
      <xdr:row>49</xdr:row>
      <xdr:rowOff>1333080</xdr:rowOff>
    </xdr:to>
    <xdr:pic>
      <xdr:nvPicPr>
        <xdr:cNvPr id="48" name="Image 49" descr="Picture"/>
        <xdr:cNvPicPr/>
      </xdr:nvPicPr>
      <xdr:blipFill>
        <a:blip r:embed="rId49"/>
        <a:stretch/>
      </xdr:blipFill>
      <xdr:spPr>
        <a:xfrm>
          <a:off x="423000" y="67151160"/>
          <a:ext cx="1333080" cy="1333080"/>
        </a:xfrm>
        <a:prstGeom prst="rect">
          <a:avLst/>
        </a:prstGeom>
        <a:ln w="0">
          <a:noFill/>
        </a:ln>
      </xdr:spPr>
    </xdr:pic>
    <xdr:clientData/>
  </xdr:twoCellAnchor>
  <xdr:twoCellAnchor editAs="oneCell">
    <xdr:from>
      <xdr:col>1</xdr:col>
      <xdr:colOff>0</xdr:colOff>
      <xdr:row>50</xdr:row>
      <xdr:rowOff>0</xdr:rowOff>
    </xdr:from>
    <xdr:to>
      <xdr:col>1</xdr:col>
      <xdr:colOff>1333080</xdr:colOff>
      <xdr:row>50</xdr:row>
      <xdr:rowOff>771120</xdr:rowOff>
    </xdr:to>
    <xdr:pic>
      <xdr:nvPicPr>
        <xdr:cNvPr id="49" name="Image 50" descr="Picture"/>
        <xdr:cNvPicPr/>
      </xdr:nvPicPr>
      <xdr:blipFill>
        <a:blip r:embed="rId50"/>
        <a:stretch/>
      </xdr:blipFill>
      <xdr:spPr>
        <a:xfrm>
          <a:off x="423000" y="68541840"/>
          <a:ext cx="1333080" cy="7711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worldmarket.com/p/everett-long-wood-foyer-table-129713.html" TargetMode="External"/><Relationship Id="rId2" Type="http://schemas.openxmlformats.org/officeDocument/2006/relationships/hyperlink" Target="https://www.worldmarket.com/on/demandware.static/-/Sites-wm-master-catalog/default/dw17f31133/images/large/129713_weatherednatural_v1.jpg?sw=400&amp;sh=400&amp;sm=fit&amp;sfrm=jpg&amp;q=80" TargetMode="External"/><Relationship Id="rId3" Type="http://schemas.openxmlformats.org/officeDocument/2006/relationships/hyperlink" Target="https://www.worldmarket.com/p/chloe-wood-side-table-128427.html" TargetMode="External"/><Relationship Id="rId4" Type="http://schemas.openxmlformats.org/officeDocument/2006/relationships/hyperlink" Target="https://www.worldmarket.com/on/demandware.static/-/Sites-wm-master-catalog/default/dw9d25bc33/images/large/128427_mahogony_v1.jpg?sw=400&amp;sh=400&amp;sm=fit&amp;sfrm=jpg&amp;q=80" TargetMode="External"/><Relationship Id="rId5" Type="http://schemas.openxmlformats.org/officeDocument/2006/relationships/hyperlink" Target="https://www.worldmarket.com/p/augustus-wood-library-bookshelf-130791.html" TargetMode="External"/><Relationship Id="rId6" Type="http://schemas.openxmlformats.org/officeDocument/2006/relationships/hyperlink" Target="https://www.worldmarket.com/on/demandware.static/-/Sites-wm-master-catalog/default/dwcc8d3441/images/large/130791_roastedcocoa_v1.jpg?sw=400&amp;sh=400&amp;sm=fit&amp;sfrm=jpg&amp;q=80" TargetMode="External"/><Relationship Id="rId7" Type="http://schemas.openxmlformats.org/officeDocument/2006/relationships/hyperlink" Target="https://www.worldmarket.com/p/sansur-rustic-pecan-live-edge-wood-console-table-565911.html" TargetMode="External"/><Relationship Id="rId8" Type="http://schemas.openxmlformats.org/officeDocument/2006/relationships/hyperlink" Target="https://www.worldmarket.com/on/demandware.static/-/Sites-wm-master-catalog/default/dw13495290/images/large/85113_XXX_v1.jpg?sw=400&amp;sh=400&amp;sm=fit&amp;sfrm=jpg&amp;q=80" TargetMode="External"/><Relationship Id="rId9" Type="http://schemas.openxmlformats.org/officeDocument/2006/relationships/hyperlink" Target="https://www.worldmarket.com/p/extra-large-acacia-wood-paddle-cutting-board-544486.html" TargetMode="External"/><Relationship Id="rId10" Type="http://schemas.openxmlformats.org/officeDocument/2006/relationships/hyperlink" Target="https://www.worldmarket.com/on/demandware.static/-/Sites-wm-master-catalog/default/dw6910c7ec/images/large/69129_XXX_v1.jpg?sw=400&amp;sh=400&amp;sm=fit&amp;sfrm=jpg&amp;q=80" TargetMode="External"/><Relationship Id="rId11" Type="http://schemas.openxmlformats.org/officeDocument/2006/relationships/hyperlink" Target="https://www.worldmarket.com/p/colette-round-wood-ottoman-tray-125094.html" TargetMode="External"/><Relationship Id="rId12" Type="http://schemas.openxmlformats.org/officeDocument/2006/relationships/hyperlink" Target="https://www.worldmarket.com/on/demandware.static/-/Sites-wm-master-catalog/default/dwba16ec6d/images/large/125094_black_v1.jpg?sw=400&amp;sh=400&amp;sm=fit&amp;sfrm=jpg&amp;q=80" TargetMode="External"/><Relationship Id="rId13" Type="http://schemas.openxmlformats.org/officeDocument/2006/relationships/hyperlink" Target="https://www.worldmarket.com/p/teakhaus-large-edge-grain-wood-trencher-cutting-board-592151.html" TargetMode="External"/><Relationship Id="rId14" Type="http://schemas.openxmlformats.org/officeDocument/2006/relationships/hyperlink" Target="https://www.worldmarket.com/on/demandware.static/-/Sites-wm-master-catalog/default/dwf94072da/images/large/96544_XXX_v1.jpg?sw=400&amp;sh=400&amp;sm=fit&amp;sfrm=jpg&amp;q=80" TargetMode="External"/><Relationship Id="rId15" Type="http://schemas.openxmlformats.org/officeDocument/2006/relationships/hyperlink" Target="https://www.worldmarket.com/p/dane-acacia-mid-century-modular-bookshelf-with-cabinet-131794.html" TargetMode="External"/><Relationship Id="rId16" Type="http://schemas.openxmlformats.org/officeDocument/2006/relationships/hyperlink" Target="https://www.worldmarket.com/on/demandware.static/-/Sites-wm-master-catalog/default/dw719a03e5/images/large/131794_walnut_v1.jpg?sw=400&amp;sh=400&amp;sm=fit&amp;sfrm=jpg&amp;q=80" TargetMode="External"/><Relationship Id="rId17" Type="http://schemas.openxmlformats.org/officeDocument/2006/relationships/hyperlink" Target="https://www.worldmarket.com/p/lansing-hazelnut-mango-wood-asymmetrical-side-table-634446.html" TargetMode="External"/><Relationship Id="rId18" Type="http://schemas.openxmlformats.org/officeDocument/2006/relationships/hyperlink" Target="https://www.worldmarket.com/on/demandware.static/-/Sites-wm-master-catalog/default/dwa54000f2/images/large/122634_XXX_v1.jpg?sw=400&amp;sh=400&amp;sm=fit&amp;sfrm=jpg&amp;q=80" TargetMode="External"/><Relationship Id="rId19" Type="http://schemas.openxmlformats.org/officeDocument/2006/relationships/hyperlink" Target="https://www.worldmarket.com/p/tunisian-olive-wood-cutting-board-585206.html" TargetMode="External"/><Relationship Id="rId20" Type="http://schemas.openxmlformats.org/officeDocument/2006/relationships/hyperlink" Target="https://www.worldmarket.com/on/demandware.static/-/Sites-wm-master-catalog/default/dwbaa4ef9b/images/large/92688_XXX_v1.jpg?sw=400&amp;sh=400&amp;sm=fit&amp;sfrm=jpg&amp;q=80" TargetMode="External"/><Relationship Id="rId21" Type="http://schemas.openxmlformats.org/officeDocument/2006/relationships/hyperlink" Target="https://www.worldmarket.com/p/craft-avni-arched-natural-carved-wood-floral-storage-cabinet-598655.html" TargetMode="External"/><Relationship Id="rId22" Type="http://schemas.openxmlformats.org/officeDocument/2006/relationships/hyperlink" Target="https://www.worldmarket.com/on/demandware.static/-/Sites-wm-master-catalog/default/dwbb8342d8/images/large/100650_XXX_v1.jpg?sw=400&amp;sh=400&amp;sm=fit&amp;sfrm=jpg&amp;q=80" TargetMode="External"/><Relationship Id="rId23" Type="http://schemas.openxmlformats.org/officeDocument/2006/relationships/hyperlink" Target="https://www.worldmarket.com/p/paulownia-wood-tripod-plant-stand-607343.html" TargetMode="External"/><Relationship Id="rId24" Type="http://schemas.openxmlformats.org/officeDocument/2006/relationships/hyperlink" Target="https://www.worldmarket.com/on/demandware.static/-/Sites-wm-master-catalog/default/dw92e65f20/images/large/106976_XXX_v1.jpg?sw=400&amp;sh=400&amp;sm=fit&amp;sfrm=jpg&amp;q=80" TargetMode="External"/><Relationship Id="rId25" Type="http://schemas.openxmlformats.org/officeDocument/2006/relationships/hyperlink" Target="https://www.worldmarket.com/p/mango-wood-footed-serving-tray-113191.html" TargetMode="External"/><Relationship Id="rId26" Type="http://schemas.openxmlformats.org/officeDocument/2006/relationships/hyperlink" Target="https://www.worldmarket.com/on/demandware.static/-/Sites-wm-master-catalog/default/dwc98cff47/images/large/113191_XXX_v1.jpg?sw=400&amp;sh=400&amp;sm=fit&amp;sfrm=jpg&amp;q=80" TargetMode="External"/><Relationship Id="rId27" Type="http://schemas.openxmlformats.org/officeDocument/2006/relationships/hyperlink" Target="https://www.worldmarket.com/p/anish-round-natural-wood-ribbed-pedestal-side-table-635511.html" TargetMode="External"/><Relationship Id="rId28" Type="http://schemas.openxmlformats.org/officeDocument/2006/relationships/hyperlink" Target="https://www.worldmarket.com/on/demandware.static/-/Sites-wm-master-catalog/default/dwa2ce24df/images/large/122622_XXX_v1.jpg?sw=400&amp;sh=400&amp;sm=fit&amp;sfrm=jpg&amp;q=80" TargetMode="External"/><Relationship Id="rId29" Type="http://schemas.openxmlformats.org/officeDocument/2006/relationships/hyperlink" Target="https://www.worldmarket.com/p/craft-short-teal-carved-wood-peacock-storage-cabinet-638915.html" TargetMode="External"/><Relationship Id="rId30" Type="http://schemas.openxmlformats.org/officeDocument/2006/relationships/hyperlink" Target="https://www.worldmarket.com/on/demandware.static/-/Sites-wm-master-catalog/default/dw56b8bb65/images/large/125084_XXX_v1.jpg?sw=400&amp;sh=400&amp;sm=fit&amp;sfrm=jpg&amp;q=80" TargetMode="External"/><Relationship Id="rId31" Type="http://schemas.openxmlformats.org/officeDocument/2006/relationships/hyperlink" Target="https://www.worldmarket.com/p/thailand-acacia-wood-serving-bowl-558030.html" TargetMode="External"/><Relationship Id="rId32" Type="http://schemas.openxmlformats.org/officeDocument/2006/relationships/hyperlink" Target="https://www.worldmarket.com/on/demandware.static/-/Sites-wm-master-catalog/default/dw80243635/images/large/77838_XXX_v1.tif?sw=400&amp;sh=400&amp;sm=fit&amp;sfrm=jpg&amp;q=80" TargetMode="External"/><Relationship Id="rId33" Type="http://schemas.openxmlformats.org/officeDocument/2006/relationships/hyperlink" Target="https://www.worldmarket.com/p/craft-multicolor-carved-wood-elephant-floor-decor-634762.html" TargetMode="External"/><Relationship Id="rId34" Type="http://schemas.openxmlformats.org/officeDocument/2006/relationships/hyperlink" Target="https://www.worldmarket.com/on/demandware.static/-/Sites-wm-master-catalog/default/dwfeb04c92/images/large/124485_XXX_v1.jpg?sw=400&amp;sh=400&amp;sm=fit&amp;sfrm=jpg&amp;q=80" TargetMode="External"/><Relationship Id="rId35" Type="http://schemas.openxmlformats.org/officeDocument/2006/relationships/hyperlink" Target="https://www.worldmarket.com/p/brentwood-round-natural-wood-pedestal-end-table-639923.html" TargetMode="External"/><Relationship Id="rId36" Type="http://schemas.openxmlformats.org/officeDocument/2006/relationships/hyperlink" Target="https://www.worldmarket.com/dw/image/v2/BJWT_PRD/on/demandware.static/-/Sites-wm-master-catalog/default/dw9e8964cf/images/large/125478_XXX_v1.jpg?sw=385&amp;sh=385&amp;sm=fit&amp;sfrm=jpg&amp;q=80" TargetMode="External"/><Relationship Id="rId37" Type="http://schemas.openxmlformats.org/officeDocument/2006/relationships/hyperlink" Target="https://www.worldmarket.com/p/carved-mango-wood-group-of-figures-decor-591505.html" TargetMode="External"/><Relationship Id="rId38" Type="http://schemas.openxmlformats.org/officeDocument/2006/relationships/hyperlink" Target="https://www.worldmarket.com/on/demandware.static/-/Sites-wm-master-catalog/default/dw39ca1048/images/large/95893_XXX_v1.jpg?sw=400&amp;sh=400&amp;sm=fit&amp;sfrm=jpg&amp;q=80" TargetMode="External"/><Relationship Id="rId39" Type="http://schemas.openxmlformats.org/officeDocument/2006/relationships/hyperlink" Target="https://urliutsav.com/products/white-pooja-mandir-brass-bells" TargetMode="External"/><Relationship Id="rId40" Type="http://schemas.openxmlformats.org/officeDocument/2006/relationships/hyperlink" Target="https://cdn.shopify.com/s/files/1/0579/1534/2899/files/whitemandir-urliutsav12.jpg?v=1768770308" TargetMode="External"/><Relationship Id="rId41" Type="http://schemas.openxmlformats.org/officeDocument/2006/relationships/hyperlink" Target="https://themandirstore.us/products/5-x-2-natural-teak-finish-mandir-with-doors" TargetMode="External"/><Relationship Id="rId42" Type="http://schemas.openxmlformats.org/officeDocument/2006/relationships/hyperlink" Target="https://cdn.shopify.com/s/files/1/0558/5997/0197/files/image_11.png?v=1785515295" TargetMode="External"/><Relationship Id="rId43" Type="http://schemas.openxmlformats.org/officeDocument/2006/relationships/hyperlink" Target="https://urliutsav.com/products/18x18x6-5-wooden-pooja-chowki-bajot" TargetMode="External"/><Relationship Id="rId44" Type="http://schemas.openxmlformats.org/officeDocument/2006/relationships/hyperlink" Target="https://cdn.shopify.com/s/files/1/0579/1534/2899/files/PureWhiteChowki-UrliUtsav-main.jpg?v=1769372415" TargetMode="External"/><Relationship Id="rId45" Type="http://schemas.openxmlformats.org/officeDocument/2006/relationships/hyperlink" Target="https://urliutsav.com/products/hand-painted-jharokha-mirror-12x10" TargetMode="External"/><Relationship Id="rId46" Type="http://schemas.openxmlformats.org/officeDocument/2006/relationships/hyperlink" Target="https://cdn.shopify.com/s/files/1/0579/1534/2899/files/Jharokha-UrliUtsav-1.jpg?v=1739499307" TargetMode="External"/><Relationship Id="rId47" Type="http://schemas.openxmlformats.org/officeDocument/2006/relationships/hyperlink" Target="https://worldinteriors.com/products/cordoba-vintage-carved-mirror" TargetMode="External"/><Relationship Id="rId48" Type="http://schemas.openxmlformats.org/officeDocument/2006/relationships/hyperlink" Target="https://cdn.shopify.com/s/files/1/1871/5825/products/FIZ-MR44-1.jpg?v=1740007620" TargetMode="External"/><Relationship Id="rId49" Type="http://schemas.openxmlformats.org/officeDocument/2006/relationships/hyperlink" Target="https://timbergirl.com/products/agra-reclaimed-wood-mirror" TargetMode="External"/><Relationship Id="rId50" Type="http://schemas.openxmlformats.org/officeDocument/2006/relationships/hyperlink" Target="https://cdn.shopify.com/s/files/1/0681/8414/6142/files/AA80000__99674.1710668117.1280.1280.jpg?v=1719700760" TargetMode="External"/><Relationship Id="rId51" Type="http://schemas.openxmlformats.org/officeDocument/2006/relationships/hyperlink" Target="https://thevintagerealm.com/products/handcrafted-reclaimed-wood-wall-mirror-rustic-rectangular-farmhouse-decor-for-bathroom-bedroom-and-entryway" TargetMode="External"/><Relationship Id="rId52" Type="http://schemas.openxmlformats.org/officeDocument/2006/relationships/hyperlink" Target="https://cdn.shopify.com/s/files/1/0626/9196/7157/files/handcrafted-reclaimed-wood-wall-mirror-rustic-rectangular-farmhouse-decor-for-bathroom-bedroom-and-entrywayprod-184-01-5329572.webp?v=1787686106" TargetMode="External"/><Relationship Id="rId53" Type="http://schemas.openxmlformats.org/officeDocument/2006/relationships/hyperlink" Target="https://timbergirl.com/products/mango-wood-coffee-table" TargetMode="External"/><Relationship Id="rId54" Type="http://schemas.openxmlformats.org/officeDocument/2006/relationships/hyperlink" Target="https://cdn.shopify.com/s/files/1/0681/8414/6142/files/SUN_0229.jpg?v=1737567298" TargetMode="External"/><Relationship Id="rId55" Type="http://schemas.openxmlformats.org/officeDocument/2006/relationships/hyperlink" Target="https://thevintagerealm.com/products/rustic-low-coffee-table" TargetMode="External"/><Relationship Id="rId56" Type="http://schemas.openxmlformats.org/officeDocument/2006/relationships/hyperlink" Target="https://cdn.shopify.com/s/files/1/0626/9196/7157/files/rustic-low-coffee-tableprod-159-01-6418904.webp?v=1780394286" TargetMode="External"/><Relationship Id="rId57" Type="http://schemas.openxmlformats.org/officeDocument/2006/relationships/hyperlink" Target="https://timbergirl.com/products/solid-natural-mango-wood-bench-60" TargetMode="External"/><Relationship Id="rId58" Type="http://schemas.openxmlformats.org/officeDocument/2006/relationships/hyperlink" Target="https://cdn.shopify.com/s/files/1/0681/8414/6142/files/SUN_2449_2.jpg?v=1753892427" TargetMode="External"/><Relationship Id="rId59" Type="http://schemas.openxmlformats.org/officeDocument/2006/relationships/hyperlink" Target="https://timbergirl.com/products/reclaimed-wood-tall-rack" TargetMode="External"/><Relationship Id="rId60" Type="http://schemas.openxmlformats.org/officeDocument/2006/relationships/hyperlink" Target="https://cdn.shopify.com/s/files/1/0681/8414/6142/files/86911955_01.png?v=1731354540" TargetMode="External"/><Relationship Id="rId61" Type="http://schemas.openxmlformats.org/officeDocument/2006/relationships/hyperlink" Target="https://worldinteriors.com/products/blayne-78-inch-tall-live-edge-bookshelf" TargetMode="External"/><Relationship Id="rId62" Type="http://schemas.openxmlformats.org/officeDocument/2006/relationships/hyperlink" Target="https://cdn.shopify.com/s/files/1/1871/5825/products/ZWBABS34RW_add.jpg?v=1740007621" TargetMode="External"/><Relationship Id="rId63" Type="http://schemas.openxmlformats.org/officeDocument/2006/relationships/hyperlink" Target="https://timbergirl.com/products/rhu-home-carved-wooden-mirror" TargetMode="External"/><Relationship Id="rId64" Type="http://schemas.openxmlformats.org/officeDocument/2006/relationships/hyperlink" Target="https://cdn.shopify.com/s/files/1/0681/8414/6142/files/AAM257_3_Web__79113__67594.1650996873.1280.1280.jpg?v=1719703009" TargetMode="External"/><Relationship Id="rId65" Type="http://schemas.openxmlformats.org/officeDocument/2006/relationships/hyperlink" Target="https://worldinteriors.com/products/summit-54-modern-coffee-table-in-capri-sheesham" TargetMode="External"/><Relationship Id="rId66" Type="http://schemas.openxmlformats.org/officeDocument/2006/relationships/hyperlink" Target="https://cdn.shopify.com/s/files/1/1871/5825/files/fsvl-ct54cs_3q1.jpg?v=1740006913" TargetMode="External"/><Relationship Id="rId67" Type="http://schemas.openxmlformats.org/officeDocument/2006/relationships/hyperlink" Target="https://timbergirl.com/products/timbergirl-old-reclaimed-wood-console-table" TargetMode="External"/><Relationship Id="rId68" Type="http://schemas.openxmlformats.org/officeDocument/2006/relationships/hyperlink" Target="https://cdn.shopify.com/s/files/1/0681/8414/6142/files/SUN_AA1473_2.png?v=1729543126" TargetMode="External"/><Relationship Id="rId69" Type="http://schemas.openxmlformats.org/officeDocument/2006/relationships/hyperlink" Target="https://timbergirl.com/products/timbergirl-suman-rustic-multicolor-bench-50" TargetMode="External"/><Relationship Id="rId70" Type="http://schemas.openxmlformats.org/officeDocument/2006/relationships/hyperlink" Target="https://cdn.shopify.com/s/files/1/0681/8414/6142/files/SUN_7914.jpg?v=1729703958" TargetMode="External"/><Relationship Id="rId71" Type="http://schemas.openxmlformats.org/officeDocument/2006/relationships/hyperlink" Target="https://urliutsav.com/products/compact-white-gold-wooden-temple" TargetMode="External"/><Relationship Id="rId72" Type="http://schemas.openxmlformats.org/officeDocument/2006/relationships/hyperlink" Target="https://cdn.shopify.com/s/files/1/0579/1534/2899/files/GoldMandir-8.jpg?v=1770973128" TargetMode="External"/><Relationship Id="rId73" Type="http://schemas.openxmlformats.org/officeDocument/2006/relationships/hyperlink" Target="https://themandirstore.us/products/5-x-2-white-wooden-pooja-mandir-with-doors" TargetMode="External"/><Relationship Id="rId74" Type="http://schemas.openxmlformats.org/officeDocument/2006/relationships/hyperlink" Target="https://cdn.shopify.com/s/files/1/0558/5997/0197/files/image_12.png?v=1785515388" TargetMode="External"/><Relationship Id="rId75" Type="http://schemas.openxmlformats.org/officeDocument/2006/relationships/hyperlink" Target="https://urliutsav.com/products/rajasthani-jharokha-20x16-inches-mirror-frame" TargetMode="External"/><Relationship Id="rId76" Type="http://schemas.openxmlformats.org/officeDocument/2006/relationships/hyperlink" Target="https://cdn.shopify.com/s/files/1/0579/1534/2899/files/RajasthaniMirrorJharokha5.jpg?v=1735351936" TargetMode="External"/><Relationship Id="rId77" Type="http://schemas.openxmlformats.org/officeDocument/2006/relationships/hyperlink" Target="https://timbergirl.com/products/seesham-wood-coffee-table" TargetMode="External"/><Relationship Id="rId78" Type="http://schemas.openxmlformats.org/officeDocument/2006/relationships/hyperlink" Target="https://cdn.shopify.com/s/files/1/0681/8414/6142/files/SUN_8086.jpg?v=1744654739" TargetMode="External"/><Relationship Id="rId79" Type="http://schemas.openxmlformats.org/officeDocument/2006/relationships/hyperlink" Target="https://www.worldmarket.com/p/craft-indra-espresso-carved-wood-elephant-storage-cabinet-659257.html" TargetMode="External"/><Relationship Id="rId80" Type="http://schemas.openxmlformats.org/officeDocument/2006/relationships/hyperlink" Target="https://www.worldmarket.com/on/demandware.static/-/Sites-wm-master-catalog/default/dw999fc2d1/images/large/136031_XXX_v1.jpg?sw=400&amp;sh=400&amp;sm=fit&amp;sfrm=jpg&amp;q=80" TargetMode="External"/><Relationship Id="rId81" Type="http://schemas.openxmlformats.org/officeDocument/2006/relationships/hyperlink" Target="https://www.worldmarket.com/p/nisha-hand-carved-wood-medallion-dining-bench-643234.html" TargetMode="External"/><Relationship Id="rId82" Type="http://schemas.openxmlformats.org/officeDocument/2006/relationships/hyperlink" Target="https://www.worldmarket.com/on/demandware.static/-/Sites-wm-master-catalog/default/dw103d11e6/images/large/127134_XXX_v1.jpg?sw=400&amp;sh=400&amp;sm=fit&amp;sfrm=jpg&amp;q=80" TargetMode="External"/><Relationship Id="rId83" Type="http://schemas.openxmlformats.org/officeDocument/2006/relationships/hyperlink" Target="https://www.worldmarket.com/p/mango-wood-arched-antique-floral-hand-painted-wall-mirror-655680.html" TargetMode="External"/><Relationship Id="rId84" Type="http://schemas.openxmlformats.org/officeDocument/2006/relationships/hyperlink" Target="https://www.worldmarket.com/on/demandware.static/-/Sites-wm-master-catalog/default/dw618345f1/images/large/134392_XXX_v1.jpg?sw=400&amp;sh=400&amp;sm=fit&amp;sfrm=jpg&amp;q=80" TargetMode="External"/><Relationship Id="rId85" Type="http://schemas.openxmlformats.org/officeDocument/2006/relationships/hyperlink" Target="https://urliutsav.com/products/white-gold-wooden-pooja-mandir-brass-bells" TargetMode="External"/><Relationship Id="rId86" Type="http://schemas.openxmlformats.org/officeDocument/2006/relationships/hyperlink" Target="https://cdn.shopify.com/s/files/1/0579/1534/2899/files/PoojaMandirWithBell-UrliUtsav-main.jpg?v=1769371926" TargetMode="External"/><Relationship Id="rId87" Type="http://schemas.openxmlformats.org/officeDocument/2006/relationships/hyperlink" Target="https://themandirstore.us/products/5-x-2-premium-white-finish-mandir-with-doors" TargetMode="External"/><Relationship Id="rId88" Type="http://schemas.openxmlformats.org/officeDocument/2006/relationships/hyperlink" Target="https://cdn.shopify.com/s/files/1/0558/5997/0197/files/image_14.png?v=1785516483" TargetMode="External"/><Relationship Id="rId89" Type="http://schemas.openxmlformats.org/officeDocument/2006/relationships/hyperlink" Target="https://urliutsav.com/products/elephant-stool-side-table-dark-brown" TargetMode="External"/><Relationship Id="rId90" Type="http://schemas.openxmlformats.org/officeDocument/2006/relationships/hyperlink" Target="https://cdn.shopify.com/s/files/1/0579/1534/2899/files/BrownWoodColor-ElephantStool-1.jpg?v=1736138292" TargetMode="External"/><Relationship Id="rId91" Type="http://schemas.openxmlformats.org/officeDocument/2006/relationships/hyperlink" Target="https://urliutsav.com/products/16-hand-painted-wooden-elephant-head-ethnic-wall-decor" TargetMode="External"/><Relationship Id="rId92" Type="http://schemas.openxmlformats.org/officeDocument/2006/relationships/hyperlink" Target="https://cdn.shopify.com/s/files/1/0579/1534/2899/files/ElphantHeadSet2.jpg?v=1740714316" TargetMode="External"/><Relationship Id="rId93" Type="http://schemas.openxmlformats.org/officeDocument/2006/relationships/hyperlink" Target="https://timbergirl.com/products/solid-sheesham-wood-cube-small-coffee-table" TargetMode="External"/><Relationship Id="rId94" Type="http://schemas.openxmlformats.org/officeDocument/2006/relationships/hyperlink" Target="https://cdn.shopify.com/s/files/1/0681/8414/6142/files/SUN_08-04-2017_Org_22__88520.1680204439.1280.1280.jpg?v=1719699022" TargetMode="External"/><Relationship Id="rId95" Type="http://schemas.openxmlformats.org/officeDocument/2006/relationships/hyperlink" Target="https://thevintagerealm.com/products/nexora-console-table" TargetMode="External"/><Relationship Id="rId96" Type="http://schemas.openxmlformats.org/officeDocument/2006/relationships/hyperlink" Target="https://cdn.shopify.com/s/files/1/0626/9196/7157/files/nexora-console-tablemk-0006-01-5051463.png?v=1789426147" TargetMode="External"/><Relationship Id="rId97" Type="http://schemas.openxmlformats.org/officeDocument/2006/relationships/hyperlink" Target="https://urliutsav.com/products/wooden-pooja-temple-traditional-ghar-mandir" TargetMode="External"/><Relationship Id="rId98" Type="http://schemas.openxmlformats.org/officeDocument/2006/relationships/hyperlink" Target="https://cdn.shopify.com/s/files/1/0579/1534/2899/files/whitemandir-urliutsav.1.jpg?v=1771108941" TargetMode="External"/><Relationship Id="rId99" Type="http://schemas.openxmlformats.org/officeDocument/2006/relationships/hyperlink" Target="https://worldinteriors.com/products/rosewood-68-live-edge-bench-in-natural-sheesham" TargetMode="External"/><Relationship Id="rId100" Type="http://schemas.openxmlformats.org/officeDocument/2006/relationships/hyperlink" Target="https://cdn.shopify.com/s/files/1/1871/5825/files/Rosewood_68_Bench_in_Natural_Sheesham_-_World_Interiors.jpg?v=1740006916" TargetMode="External"/><Relationship Id="rId10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1"/>
    <col collapsed="false" customWidth="true" hidden="false" outlineLevel="0" max="3" min="3" style="0" width="38"/>
    <col collapsed="false" customWidth="true" hidden="false" outlineLevel="0" max="4" min="4" style="0" width="20"/>
    <col collapsed="false" customWidth="true" hidden="false" outlineLevel="0" max="5" min="5" style="0" width="34"/>
    <col collapsed="false" customWidth="true" hidden="false" outlineLevel="0" max="7" min="6" style="0" width="20"/>
    <col collapsed="false" customWidth="true" hidden="false" outlineLevel="0" max="9" min="8" style="0" width="13"/>
    <col collapsed="false" customWidth="true" hidden="false" outlineLevel="0" max="10" min="10" style="0" width="30"/>
    <col collapsed="false" customWidth="true" hidden="false" outlineLevel="0" max="12" min="11" style="0" width="9"/>
    <col collapsed="false" customWidth="true" hidden="false" outlineLevel="0" max="13" min="13" style="0" width="52"/>
    <col collapsed="false" customWidth="true" hidden="false" outlineLevel="0" max="15" min="14" style="0" width="30"/>
    <col collapsed="false" customWidth="true" hidden="false" outlineLevel="0" max="16" min="16" style="0" width="17"/>
    <col collapsed="false" customWidth="true" hidden="false" outlineLevel="0" max="17" min="17" style="0" width="36"/>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09.5" hidden="false" customHeight="true" outlineLevel="0" collapsed="false">
      <c r="A2" s="2" t="n">
        <v>1</v>
      </c>
      <c r="B2" s="3"/>
      <c r="C2" s="3" t="s">
        <v>17</v>
      </c>
      <c r="D2" s="3" t="s">
        <v>18</v>
      </c>
      <c r="E2" s="3" t="s">
        <v>19</v>
      </c>
      <c r="F2" s="3" t="s">
        <v>20</v>
      </c>
      <c r="G2" s="3" t="s">
        <v>20</v>
      </c>
      <c r="H2" s="4" t="n">
        <v>449.99</v>
      </c>
      <c r="I2" s="4"/>
      <c r="J2" s="3" t="s">
        <v>21</v>
      </c>
      <c r="K2" s="5" t="n">
        <v>4.8</v>
      </c>
      <c r="L2" s="6" t="n">
        <v>718</v>
      </c>
      <c r="M2" s="3" t="s">
        <v>22</v>
      </c>
      <c r="N2" s="7" t="s">
        <v>23</v>
      </c>
      <c r="O2" s="7" t="s">
        <v>24</v>
      </c>
      <c r="P2" s="3" t="s">
        <v>25</v>
      </c>
      <c r="Q2" s="3" t="s">
        <v>26</v>
      </c>
    </row>
    <row r="3" customFormat="false" ht="109.5" hidden="false" customHeight="true" outlineLevel="0" collapsed="false">
      <c r="A3" s="2" t="n">
        <v>2</v>
      </c>
      <c r="B3" s="3"/>
      <c r="C3" s="3" t="s">
        <v>27</v>
      </c>
      <c r="D3" s="3" t="s">
        <v>28</v>
      </c>
      <c r="E3" s="3" t="s">
        <v>29</v>
      </c>
      <c r="F3" s="3" t="s">
        <v>20</v>
      </c>
      <c r="G3" s="3" t="s">
        <v>20</v>
      </c>
      <c r="H3" s="4" t="n">
        <v>59.99</v>
      </c>
      <c r="I3" s="4"/>
      <c r="J3" s="3" t="s">
        <v>30</v>
      </c>
      <c r="K3" s="5" t="n">
        <v>4.7</v>
      </c>
      <c r="L3" s="6" t="n">
        <v>413</v>
      </c>
      <c r="M3" s="3" t="s">
        <v>31</v>
      </c>
      <c r="N3" s="7" t="s">
        <v>32</v>
      </c>
      <c r="O3" s="7" t="s">
        <v>33</v>
      </c>
      <c r="P3" s="3" t="s">
        <v>25</v>
      </c>
      <c r="Q3" s="3" t="s">
        <v>34</v>
      </c>
    </row>
    <row r="4" customFormat="false" ht="109.5" hidden="false" customHeight="true" outlineLevel="0" collapsed="false">
      <c r="A4" s="2" t="n">
        <v>3</v>
      </c>
      <c r="B4" s="3"/>
      <c r="C4" s="3" t="s">
        <v>35</v>
      </c>
      <c r="D4" s="3" t="s">
        <v>36</v>
      </c>
      <c r="E4" s="3" t="s">
        <v>37</v>
      </c>
      <c r="F4" s="3" t="s">
        <v>20</v>
      </c>
      <c r="G4" s="3" t="s">
        <v>20</v>
      </c>
      <c r="H4" s="4" t="n">
        <v>799.99</v>
      </c>
      <c r="I4" s="4"/>
      <c r="J4" s="3" t="s">
        <v>38</v>
      </c>
      <c r="K4" s="5" t="n">
        <v>4.4</v>
      </c>
      <c r="L4" s="6" t="n">
        <v>221</v>
      </c>
      <c r="M4" s="3" t="s">
        <v>39</v>
      </c>
      <c r="N4" s="7" t="s">
        <v>40</v>
      </c>
      <c r="O4" s="7" t="s">
        <v>41</v>
      </c>
      <c r="P4" s="3" t="s">
        <v>25</v>
      </c>
      <c r="Q4" s="3" t="s">
        <v>42</v>
      </c>
    </row>
    <row r="5" customFormat="false" ht="109.5" hidden="false" customHeight="true" outlineLevel="0" collapsed="false">
      <c r="A5" s="2" t="n">
        <v>4</v>
      </c>
      <c r="B5" s="3"/>
      <c r="C5" s="3" t="s">
        <v>43</v>
      </c>
      <c r="D5" s="3" t="s">
        <v>18</v>
      </c>
      <c r="E5" s="3" t="s">
        <v>44</v>
      </c>
      <c r="F5" s="3" t="s">
        <v>20</v>
      </c>
      <c r="G5" s="3" t="s">
        <v>20</v>
      </c>
      <c r="H5" s="4" t="n">
        <v>174.99</v>
      </c>
      <c r="I5" s="4" t="n">
        <v>399.99</v>
      </c>
      <c r="J5" s="3" t="s">
        <v>45</v>
      </c>
      <c r="K5" s="5" t="n">
        <v>4.9</v>
      </c>
      <c r="L5" s="6" t="n">
        <v>145</v>
      </c>
      <c r="M5" s="3" t="s">
        <v>46</v>
      </c>
      <c r="N5" s="7" t="s">
        <v>47</v>
      </c>
      <c r="O5" s="7" t="s">
        <v>48</v>
      </c>
      <c r="P5" s="3" t="s">
        <v>25</v>
      </c>
      <c r="Q5" s="3" t="s">
        <v>49</v>
      </c>
    </row>
    <row r="6" customFormat="false" ht="109.5" hidden="false" customHeight="true" outlineLevel="0" collapsed="false">
      <c r="A6" s="2" t="n">
        <v>5</v>
      </c>
      <c r="B6" s="3"/>
      <c r="C6" s="3" t="s">
        <v>50</v>
      </c>
      <c r="D6" s="3" t="s">
        <v>51</v>
      </c>
      <c r="E6" s="3" t="s">
        <v>52</v>
      </c>
      <c r="F6" s="3" t="s">
        <v>20</v>
      </c>
      <c r="G6" s="3" t="s">
        <v>20</v>
      </c>
      <c r="H6" s="4" t="n">
        <v>59.99</v>
      </c>
      <c r="I6" s="4"/>
      <c r="J6" s="3" t="s">
        <v>53</v>
      </c>
      <c r="K6" s="5" t="n">
        <v>4.9</v>
      </c>
      <c r="L6" s="6" t="n">
        <v>87</v>
      </c>
      <c r="M6" s="3" t="s">
        <v>54</v>
      </c>
      <c r="N6" s="7" t="s">
        <v>55</v>
      </c>
      <c r="O6" s="7" t="s">
        <v>56</v>
      </c>
      <c r="P6" s="3" t="s">
        <v>25</v>
      </c>
      <c r="Q6" s="3" t="s">
        <v>57</v>
      </c>
    </row>
    <row r="7" customFormat="false" ht="109.5" hidden="false" customHeight="true" outlineLevel="0" collapsed="false">
      <c r="A7" s="2" t="n">
        <v>6</v>
      </c>
      <c r="B7" s="3"/>
      <c r="C7" s="3" t="s">
        <v>58</v>
      </c>
      <c r="D7" s="3" t="s">
        <v>51</v>
      </c>
      <c r="E7" s="3" t="s">
        <v>59</v>
      </c>
      <c r="F7" s="3" t="s">
        <v>20</v>
      </c>
      <c r="G7" s="3" t="s">
        <v>20</v>
      </c>
      <c r="H7" s="4" t="n">
        <v>69.99</v>
      </c>
      <c r="I7" s="4"/>
      <c r="J7" s="3" t="s">
        <v>60</v>
      </c>
      <c r="K7" s="5" t="n">
        <v>5</v>
      </c>
      <c r="L7" s="6" t="n">
        <v>64</v>
      </c>
      <c r="M7" s="3" t="s">
        <v>61</v>
      </c>
      <c r="N7" s="7" t="s">
        <v>62</v>
      </c>
      <c r="O7" s="7" t="s">
        <v>63</v>
      </c>
      <c r="P7" s="3" t="s">
        <v>64</v>
      </c>
      <c r="Q7" s="3" t="s">
        <v>57</v>
      </c>
    </row>
    <row r="8" customFormat="false" ht="109.5" hidden="false" customHeight="true" outlineLevel="0" collapsed="false">
      <c r="A8" s="2" t="n">
        <v>7</v>
      </c>
      <c r="B8" s="3"/>
      <c r="C8" s="3" t="s">
        <v>65</v>
      </c>
      <c r="D8" s="3" t="s">
        <v>51</v>
      </c>
      <c r="E8" s="3" t="s">
        <v>66</v>
      </c>
      <c r="F8" s="3" t="s">
        <v>67</v>
      </c>
      <c r="G8" s="3" t="s">
        <v>20</v>
      </c>
      <c r="H8" s="4" t="n">
        <v>42.99</v>
      </c>
      <c r="I8" s="4"/>
      <c r="J8" s="3" t="s">
        <v>68</v>
      </c>
      <c r="K8" s="5" t="n">
        <v>4.5</v>
      </c>
      <c r="L8" s="6" t="n">
        <v>62</v>
      </c>
      <c r="M8" s="3" t="s">
        <v>69</v>
      </c>
      <c r="N8" s="7" t="s">
        <v>70</v>
      </c>
      <c r="O8" s="7" t="s">
        <v>71</v>
      </c>
      <c r="P8" s="3" t="s">
        <v>25</v>
      </c>
      <c r="Q8" s="3" t="s">
        <v>57</v>
      </c>
    </row>
    <row r="9" customFormat="false" ht="109.5" hidden="false" customHeight="true" outlineLevel="0" collapsed="false">
      <c r="A9" s="2" t="n">
        <v>8</v>
      </c>
      <c r="B9" s="3"/>
      <c r="C9" s="3" t="s">
        <v>72</v>
      </c>
      <c r="D9" s="3" t="s">
        <v>36</v>
      </c>
      <c r="E9" s="3" t="s">
        <v>73</v>
      </c>
      <c r="F9" s="3" t="s">
        <v>20</v>
      </c>
      <c r="G9" s="3" t="s">
        <v>20</v>
      </c>
      <c r="H9" s="4" t="n">
        <v>649.99</v>
      </c>
      <c r="I9" s="4"/>
      <c r="J9" s="3" t="s">
        <v>74</v>
      </c>
      <c r="K9" s="5" t="n">
        <v>4.2</v>
      </c>
      <c r="L9" s="6" t="n">
        <v>60</v>
      </c>
      <c r="M9" s="3" t="s">
        <v>75</v>
      </c>
      <c r="N9" s="7" t="s">
        <v>76</v>
      </c>
      <c r="O9" s="7" t="s">
        <v>77</v>
      </c>
      <c r="P9" s="3" t="s">
        <v>25</v>
      </c>
      <c r="Q9" s="3" t="s">
        <v>57</v>
      </c>
    </row>
    <row r="10" customFormat="false" ht="109.5" hidden="false" customHeight="true" outlineLevel="0" collapsed="false">
      <c r="A10" s="2" t="n">
        <v>9</v>
      </c>
      <c r="B10" s="3"/>
      <c r="C10" s="3" t="s">
        <v>78</v>
      </c>
      <c r="D10" s="3" t="s">
        <v>28</v>
      </c>
      <c r="E10" s="3" t="s">
        <v>79</v>
      </c>
      <c r="F10" s="3" t="s">
        <v>20</v>
      </c>
      <c r="G10" s="3" t="s">
        <v>20</v>
      </c>
      <c r="H10" s="4" t="n">
        <v>149.99</v>
      </c>
      <c r="I10" s="4"/>
      <c r="J10" s="3" t="s">
        <v>80</v>
      </c>
      <c r="K10" s="5" t="n">
        <v>4.8</v>
      </c>
      <c r="L10" s="6" t="n">
        <v>53</v>
      </c>
      <c r="M10" s="3" t="s">
        <v>81</v>
      </c>
      <c r="N10" s="7" t="s">
        <v>82</v>
      </c>
      <c r="O10" s="7" t="s">
        <v>83</v>
      </c>
      <c r="P10" s="3" t="s">
        <v>84</v>
      </c>
      <c r="Q10" s="3" t="s">
        <v>57</v>
      </c>
    </row>
    <row r="11" customFormat="false" ht="109.5" hidden="false" customHeight="true" outlineLevel="0" collapsed="false">
      <c r="A11" s="2" t="n">
        <v>10</v>
      </c>
      <c r="B11" s="3"/>
      <c r="C11" s="3" t="s">
        <v>85</v>
      </c>
      <c r="D11" s="3" t="s">
        <v>51</v>
      </c>
      <c r="E11" s="3" t="s">
        <v>86</v>
      </c>
      <c r="F11" s="3" t="s">
        <v>20</v>
      </c>
      <c r="G11" s="3" t="s">
        <v>20</v>
      </c>
      <c r="H11" s="4" t="n">
        <v>29.99</v>
      </c>
      <c r="I11" s="4"/>
      <c r="J11" s="3" t="s">
        <v>87</v>
      </c>
      <c r="K11" s="5" t="n">
        <v>4.6</v>
      </c>
      <c r="L11" s="6" t="n">
        <v>47</v>
      </c>
      <c r="M11" s="3" t="s">
        <v>88</v>
      </c>
      <c r="N11" s="7" t="s">
        <v>89</v>
      </c>
      <c r="O11" s="7" t="s">
        <v>90</v>
      </c>
      <c r="P11" s="3" t="s">
        <v>25</v>
      </c>
      <c r="Q11" s="3" t="s">
        <v>57</v>
      </c>
    </row>
    <row r="12" customFormat="false" ht="109.5" hidden="false" customHeight="true" outlineLevel="0" collapsed="false">
      <c r="A12" s="2" t="n">
        <v>11</v>
      </c>
      <c r="B12" s="3"/>
      <c r="C12" s="3" t="s">
        <v>91</v>
      </c>
      <c r="D12" s="3" t="s">
        <v>92</v>
      </c>
      <c r="E12" s="3" t="s">
        <v>93</v>
      </c>
      <c r="F12" s="3" t="s">
        <v>20</v>
      </c>
      <c r="G12" s="3" t="s">
        <v>20</v>
      </c>
      <c r="H12" s="4" t="n">
        <v>1499.99</v>
      </c>
      <c r="I12" s="4"/>
      <c r="J12" s="3" t="s">
        <v>94</v>
      </c>
      <c r="K12" s="5" t="n">
        <v>4.5</v>
      </c>
      <c r="L12" s="6" t="n">
        <v>43</v>
      </c>
      <c r="M12" s="3" t="s">
        <v>95</v>
      </c>
      <c r="N12" s="7" t="s">
        <v>96</v>
      </c>
      <c r="O12" s="7" t="s">
        <v>97</v>
      </c>
      <c r="P12" s="3" t="s">
        <v>25</v>
      </c>
      <c r="Q12" s="3" t="s">
        <v>57</v>
      </c>
    </row>
    <row r="13" customFormat="false" ht="109.5" hidden="false" customHeight="true" outlineLevel="0" collapsed="false">
      <c r="A13" s="2" t="n">
        <v>12</v>
      </c>
      <c r="B13" s="3"/>
      <c r="C13" s="3" t="s">
        <v>98</v>
      </c>
      <c r="D13" s="3" t="s">
        <v>99</v>
      </c>
      <c r="E13" s="3" t="s">
        <v>100</v>
      </c>
      <c r="F13" s="3" t="s">
        <v>20</v>
      </c>
      <c r="G13" s="3" t="s">
        <v>20</v>
      </c>
      <c r="H13" s="4" t="n">
        <v>29.99</v>
      </c>
      <c r="I13" s="4"/>
      <c r="J13" s="3" t="s">
        <v>101</v>
      </c>
      <c r="K13" s="5" t="n">
        <v>4.9</v>
      </c>
      <c r="L13" s="6" t="n">
        <v>40</v>
      </c>
      <c r="M13" s="3" t="s">
        <v>102</v>
      </c>
      <c r="N13" s="7" t="s">
        <v>103</v>
      </c>
      <c r="O13" s="7" t="s">
        <v>104</v>
      </c>
      <c r="P13" s="3" t="s">
        <v>64</v>
      </c>
      <c r="Q13" s="3" t="s">
        <v>57</v>
      </c>
    </row>
    <row r="14" customFormat="false" ht="109.5" hidden="false" customHeight="true" outlineLevel="0" collapsed="false">
      <c r="A14" s="2" t="n">
        <v>13</v>
      </c>
      <c r="B14" s="3"/>
      <c r="C14" s="3" t="s">
        <v>105</v>
      </c>
      <c r="D14" s="3" t="s">
        <v>51</v>
      </c>
      <c r="E14" s="3" t="s">
        <v>106</v>
      </c>
      <c r="F14" s="3" t="s">
        <v>20</v>
      </c>
      <c r="G14" s="3" t="s">
        <v>20</v>
      </c>
      <c r="H14" s="4" t="n">
        <v>34.99</v>
      </c>
      <c r="I14" s="4"/>
      <c r="J14" s="3" t="s">
        <v>107</v>
      </c>
      <c r="K14" s="5" t="n">
        <v>4.9</v>
      </c>
      <c r="L14" s="6" t="n">
        <v>38</v>
      </c>
      <c r="M14" s="3" t="s">
        <v>108</v>
      </c>
      <c r="N14" s="7" t="s">
        <v>109</v>
      </c>
      <c r="O14" s="7" t="s">
        <v>110</v>
      </c>
      <c r="P14" s="3" t="s">
        <v>25</v>
      </c>
      <c r="Q14" s="3" t="s">
        <v>57</v>
      </c>
    </row>
    <row r="15" customFormat="false" ht="109.5" hidden="false" customHeight="true" outlineLevel="0" collapsed="false">
      <c r="A15" s="2" t="n">
        <v>14</v>
      </c>
      <c r="B15" s="3"/>
      <c r="C15" s="3" t="s">
        <v>111</v>
      </c>
      <c r="D15" s="3" t="s">
        <v>28</v>
      </c>
      <c r="E15" s="3" t="s">
        <v>112</v>
      </c>
      <c r="F15" s="3" t="s">
        <v>20</v>
      </c>
      <c r="G15" s="3" t="s">
        <v>20</v>
      </c>
      <c r="H15" s="4" t="n">
        <v>149.99</v>
      </c>
      <c r="I15" s="4"/>
      <c r="J15" s="3" t="s">
        <v>113</v>
      </c>
      <c r="K15" s="5" t="n">
        <v>5</v>
      </c>
      <c r="L15" s="6" t="n">
        <v>33</v>
      </c>
      <c r="M15" s="3" t="s">
        <v>114</v>
      </c>
      <c r="N15" s="7" t="s">
        <v>115</v>
      </c>
      <c r="O15" s="7" t="s">
        <v>116</v>
      </c>
      <c r="P15" s="3" t="s">
        <v>25</v>
      </c>
      <c r="Q15" s="3" t="s">
        <v>57</v>
      </c>
    </row>
    <row r="16" customFormat="false" ht="109.5" hidden="false" customHeight="true" outlineLevel="0" collapsed="false">
      <c r="A16" s="2" t="n">
        <v>15</v>
      </c>
      <c r="B16" s="3"/>
      <c r="C16" s="3" t="s">
        <v>117</v>
      </c>
      <c r="D16" s="3" t="s">
        <v>92</v>
      </c>
      <c r="E16" s="3" t="s">
        <v>118</v>
      </c>
      <c r="F16" s="3" t="s">
        <v>20</v>
      </c>
      <c r="G16" s="3" t="s">
        <v>20</v>
      </c>
      <c r="H16" s="4" t="n">
        <v>699.99</v>
      </c>
      <c r="I16" s="4"/>
      <c r="J16" s="3" t="s">
        <v>119</v>
      </c>
      <c r="K16" s="5" t="n">
        <v>4.6</v>
      </c>
      <c r="L16" s="6" t="n">
        <v>31</v>
      </c>
      <c r="M16" s="3" t="s">
        <v>120</v>
      </c>
      <c r="N16" s="7" t="s">
        <v>121</v>
      </c>
      <c r="O16" s="7" t="s">
        <v>122</v>
      </c>
      <c r="P16" s="3" t="s">
        <v>25</v>
      </c>
      <c r="Q16" s="3" t="s">
        <v>57</v>
      </c>
    </row>
    <row r="17" customFormat="false" ht="109.5" hidden="false" customHeight="true" outlineLevel="0" collapsed="false">
      <c r="A17" s="2" t="n">
        <v>16</v>
      </c>
      <c r="B17" s="3"/>
      <c r="C17" s="3" t="s">
        <v>123</v>
      </c>
      <c r="D17" s="3" t="s">
        <v>51</v>
      </c>
      <c r="E17" s="3" t="s">
        <v>124</v>
      </c>
      <c r="F17" s="3" t="s">
        <v>20</v>
      </c>
      <c r="G17" s="3" t="s">
        <v>20</v>
      </c>
      <c r="H17" s="4" t="n">
        <v>27.98</v>
      </c>
      <c r="I17" s="4" t="n">
        <v>39.99</v>
      </c>
      <c r="J17" s="3" t="s">
        <v>125</v>
      </c>
      <c r="K17" s="5" t="n">
        <v>4.7</v>
      </c>
      <c r="L17" s="6" t="n">
        <v>30</v>
      </c>
      <c r="M17" s="3" t="s">
        <v>126</v>
      </c>
      <c r="N17" s="7" t="s">
        <v>127</v>
      </c>
      <c r="O17" s="7" t="s">
        <v>128</v>
      </c>
      <c r="P17" s="3" t="s">
        <v>64</v>
      </c>
      <c r="Q17" s="3" t="s">
        <v>57</v>
      </c>
    </row>
    <row r="18" customFormat="false" ht="109.5" hidden="false" customHeight="true" outlineLevel="0" collapsed="false">
      <c r="A18" s="2" t="n">
        <v>17</v>
      </c>
      <c r="B18" s="3"/>
      <c r="C18" s="3" t="s">
        <v>129</v>
      </c>
      <c r="D18" s="3" t="s">
        <v>130</v>
      </c>
      <c r="E18" s="3" t="s">
        <v>131</v>
      </c>
      <c r="F18" s="3" t="s">
        <v>20</v>
      </c>
      <c r="G18" s="3" t="s">
        <v>20</v>
      </c>
      <c r="H18" s="4" t="n">
        <v>249.99</v>
      </c>
      <c r="I18" s="4"/>
      <c r="J18" s="3" t="s">
        <v>132</v>
      </c>
      <c r="K18" s="5" t="n">
        <v>5</v>
      </c>
      <c r="L18" s="6" t="n">
        <v>24</v>
      </c>
      <c r="M18" s="3" t="s">
        <v>133</v>
      </c>
      <c r="N18" s="7" t="s">
        <v>134</v>
      </c>
      <c r="O18" s="7" t="s">
        <v>135</v>
      </c>
      <c r="P18" s="3" t="s">
        <v>64</v>
      </c>
      <c r="Q18" s="3" t="s">
        <v>57</v>
      </c>
    </row>
    <row r="19" customFormat="false" ht="109.5" hidden="false" customHeight="true" outlineLevel="0" collapsed="false">
      <c r="A19" s="2" t="n">
        <v>18</v>
      </c>
      <c r="B19" s="3"/>
      <c r="C19" s="3" t="s">
        <v>136</v>
      </c>
      <c r="D19" s="3" t="s">
        <v>28</v>
      </c>
      <c r="E19" s="3" t="s">
        <v>137</v>
      </c>
      <c r="F19" s="3" t="s">
        <v>20</v>
      </c>
      <c r="G19" s="3" t="s">
        <v>20</v>
      </c>
      <c r="H19" s="4" t="n">
        <v>149.99</v>
      </c>
      <c r="I19" s="4"/>
      <c r="J19" s="3" t="s">
        <v>138</v>
      </c>
      <c r="K19" s="5" t="n">
        <v>4.9</v>
      </c>
      <c r="L19" s="6" t="n">
        <v>23</v>
      </c>
      <c r="M19" s="3" t="s">
        <v>139</v>
      </c>
      <c r="N19" s="7" t="s">
        <v>140</v>
      </c>
      <c r="O19" s="7" t="s">
        <v>141</v>
      </c>
      <c r="P19" s="3" t="s">
        <v>84</v>
      </c>
      <c r="Q19" s="3" t="s">
        <v>57</v>
      </c>
    </row>
    <row r="20" customFormat="false" ht="109.5" hidden="false" customHeight="true" outlineLevel="0" collapsed="false">
      <c r="A20" s="2" t="n">
        <v>19</v>
      </c>
      <c r="B20" s="3"/>
      <c r="C20" s="3" t="s">
        <v>142</v>
      </c>
      <c r="D20" s="3" t="s">
        <v>130</v>
      </c>
      <c r="E20" s="3" t="s">
        <v>143</v>
      </c>
      <c r="F20" s="3" t="s">
        <v>20</v>
      </c>
      <c r="G20" s="3" t="s">
        <v>20</v>
      </c>
      <c r="H20" s="4" t="n">
        <v>89.99</v>
      </c>
      <c r="I20" s="4"/>
      <c r="J20" s="3" t="s">
        <v>144</v>
      </c>
      <c r="K20" s="5" t="n">
        <v>5</v>
      </c>
      <c r="L20" s="6" t="n">
        <v>23</v>
      </c>
      <c r="M20" s="3" t="s">
        <v>145</v>
      </c>
      <c r="N20" s="7" t="s">
        <v>146</v>
      </c>
      <c r="O20" s="7" t="s">
        <v>147</v>
      </c>
      <c r="P20" s="3" t="s">
        <v>64</v>
      </c>
      <c r="Q20" s="3" t="s">
        <v>57</v>
      </c>
    </row>
    <row r="21" customFormat="false" ht="109.5" hidden="false" customHeight="true" outlineLevel="0" collapsed="false">
      <c r="A21" s="2" t="n">
        <v>20</v>
      </c>
      <c r="B21" s="3"/>
      <c r="C21" s="3" t="s">
        <v>148</v>
      </c>
      <c r="D21" s="3" t="s">
        <v>149</v>
      </c>
      <c r="E21" s="3" t="s">
        <v>150</v>
      </c>
      <c r="F21" s="3" t="s">
        <v>151</v>
      </c>
      <c r="G21" s="3" t="s">
        <v>152</v>
      </c>
      <c r="H21" s="4" t="n">
        <v>390</v>
      </c>
      <c r="I21" s="4"/>
      <c r="J21" s="3" t="s">
        <v>153</v>
      </c>
      <c r="K21" s="5"/>
      <c r="L21" s="6"/>
      <c r="M21" s="3" t="s">
        <v>154</v>
      </c>
      <c r="N21" s="7" t="s">
        <v>155</v>
      </c>
      <c r="O21" s="7" t="s">
        <v>156</v>
      </c>
      <c r="P21" s="3" t="s">
        <v>157</v>
      </c>
      <c r="Q21" s="3" t="s">
        <v>57</v>
      </c>
    </row>
    <row r="22" customFormat="false" ht="109.5" hidden="false" customHeight="true" outlineLevel="0" collapsed="false">
      <c r="A22" s="2" t="n">
        <v>21</v>
      </c>
      <c r="B22" s="3"/>
      <c r="C22" s="3" t="s">
        <v>158</v>
      </c>
      <c r="D22" s="3" t="s">
        <v>149</v>
      </c>
      <c r="E22" s="3" t="s">
        <v>159</v>
      </c>
      <c r="F22" s="3" t="s">
        <v>160</v>
      </c>
      <c r="G22" s="3" t="s">
        <v>161</v>
      </c>
      <c r="H22" s="4" t="n">
        <v>899</v>
      </c>
      <c r="I22" s="4" t="n">
        <v>1099</v>
      </c>
      <c r="J22" s="3" t="s">
        <v>162</v>
      </c>
      <c r="K22" s="5"/>
      <c r="L22" s="6"/>
      <c r="M22" s="3" t="s">
        <v>163</v>
      </c>
      <c r="N22" s="7" t="s">
        <v>164</v>
      </c>
      <c r="O22" s="7" t="s">
        <v>165</v>
      </c>
      <c r="P22" s="3" t="s">
        <v>157</v>
      </c>
      <c r="Q22" s="3" t="s">
        <v>166</v>
      </c>
    </row>
    <row r="23" customFormat="false" ht="109.5" hidden="false" customHeight="true" outlineLevel="0" collapsed="false">
      <c r="A23" s="2" t="n">
        <v>22</v>
      </c>
      <c r="B23" s="3"/>
      <c r="C23" s="3" t="s">
        <v>167</v>
      </c>
      <c r="D23" s="3" t="s">
        <v>168</v>
      </c>
      <c r="E23" s="3" t="s">
        <v>169</v>
      </c>
      <c r="F23" s="3" t="s">
        <v>151</v>
      </c>
      <c r="G23" s="3" t="s">
        <v>152</v>
      </c>
      <c r="H23" s="4" t="n">
        <v>126</v>
      </c>
      <c r="I23" s="4"/>
      <c r="J23" s="3" t="s">
        <v>170</v>
      </c>
      <c r="K23" s="5"/>
      <c r="L23" s="6"/>
      <c r="M23" s="3" t="s">
        <v>171</v>
      </c>
      <c r="N23" s="7" t="s">
        <v>172</v>
      </c>
      <c r="O23" s="7" t="s">
        <v>173</v>
      </c>
      <c r="P23" s="3" t="s">
        <v>157</v>
      </c>
      <c r="Q23" s="3" t="s">
        <v>57</v>
      </c>
    </row>
    <row r="24" customFormat="false" ht="109.5" hidden="false" customHeight="true" outlineLevel="0" collapsed="false">
      <c r="A24" s="2" t="n">
        <v>23</v>
      </c>
      <c r="B24" s="3"/>
      <c r="C24" s="3" t="s">
        <v>174</v>
      </c>
      <c r="D24" s="3" t="s">
        <v>175</v>
      </c>
      <c r="E24" s="3" t="s">
        <v>176</v>
      </c>
      <c r="F24" s="3" t="s">
        <v>151</v>
      </c>
      <c r="G24" s="3" t="s">
        <v>152</v>
      </c>
      <c r="H24" s="4" t="n">
        <v>60</v>
      </c>
      <c r="I24" s="4"/>
      <c r="J24" s="3" t="s">
        <v>177</v>
      </c>
      <c r="K24" s="5"/>
      <c r="L24" s="6"/>
      <c r="M24" s="3" t="s">
        <v>178</v>
      </c>
      <c r="N24" s="7" t="s">
        <v>179</v>
      </c>
      <c r="O24" s="7" t="s">
        <v>180</v>
      </c>
      <c r="P24" s="3" t="s">
        <v>157</v>
      </c>
      <c r="Q24" s="3" t="s">
        <v>181</v>
      </c>
    </row>
    <row r="25" customFormat="false" ht="109.5" hidden="false" customHeight="true" outlineLevel="0" collapsed="false">
      <c r="A25" s="2" t="n">
        <v>24</v>
      </c>
      <c r="B25" s="3"/>
      <c r="C25" s="3" t="s">
        <v>182</v>
      </c>
      <c r="D25" s="3" t="s">
        <v>183</v>
      </c>
      <c r="E25" s="3" t="s">
        <v>184</v>
      </c>
      <c r="F25" s="3" t="s">
        <v>185</v>
      </c>
      <c r="G25" s="3" t="s">
        <v>186</v>
      </c>
      <c r="H25" s="4" t="n">
        <v>500</v>
      </c>
      <c r="I25" s="4"/>
      <c r="J25" s="3" t="s">
        <v>187</v>
      </c>
      <c r="K25" s="5"/>
      <c r="L25" s="6"/>
      <c r="M25" s="3" t="s">
        <v>188</v>
      </c>
      <c r="N25" s="7" t="s">
        <v>189</v>
      </c>
      <c r="O25" s="7" t="s">
        <v>190</v>
      </c>
      <c r="P25" s="3" t="s">
        <v>157</v>
      </c>
      <c r="Q25" s="3" t="s">
        <v>57</v>
      </c>
    </row>
    <row r="26" customFormat="false" ht="109.5" hidden="false" customHeight="true" outlineLevel="0" collapsed="false">
      <c r="A26" s="2" t="n">
        <v>25</v>
      </c>
      <c r="B26" s="3"/>
      <c r="C26" s="3" t="s">
        <v>191</v>
      </c>
      <c r="D26" s="3" t="s">
        <v>183</v>
      </c>
      <c r="E26" s="3" t="s">
        <v>192</v>
      </c>
      <c r="F26" s="3" t="s">
        <v>193</v>
      </c>
      <c r="G26" s="3" t="s">
        <v>194</v>
      </c>
      <c r="H26" s="4" t="n">
        <v>499.99</v>
      </c>
      <c r="I26" s="4"/>
      <c r="J26" s="3" t="s">
        <v>195</v>
      </c>
      <c r="K26" s="5"/>
      <c r="L26" s="6"/>
      <c r="M26" s="3" t="s">
        <v>188</v>
      </c>
      <c r="N26" s="7" t="s">
        <v>196</v>
      </c>
      <c r="O26" s="7" t="s">
        <v>197</v>
      </c>
      <c r="P26" s="3" t="s">
        <v>157</v>
      </c>
      <c r="Q26" s="3" t="s">
        <v>198</v>
      </c>
    </row>
    <row r="27" customFormat="false" ht="109.5" hidden="false" customHeight="true" outlineLevel="0" collapsed="false">
      <c r="A27" s="2" t="n">
        <v>26</v>
      </c>
      <c r="B27" s="3"/>
      <c r="C27" s="3" t="s">
        <v>199</v>
      </c>
      <c r="D27" s="3" t="s">
        <v>183</v>
      </c>
      <c r="E27" s="3" t="s">
        <v>200</v>
      </c>
      <c r="F27" s="3" t="s">
        <v>201</v>
      </c>
      <c r="G27" s="3" t="s">
        <v>202</v>
      </c>
      <c r="H27" s="4" t="n">
        <v>103.95</v>
      </c>
      <c r="I27" s="4" t="n">
        <v>135</v>
      </c>
      <c r="J27" s="3" t="s">
        <v>203</v>
      </c>
      <c r="K27" s="5"/>
      <c r="L27" s="6"/>
      <c r="M27" s="3" t="s">
        <v>204</v>
      </c>
      <c r="N27" s="7" t="s">
        <v>205</v>
      </c>
      <c r="O27" s="7" t="s">
        <v>206</v>
      </c>
      <c r="P27" s="3" t="s">
        <v>157</v>
      </c>
      <c r="Q27" s="3" t="s">
        <v>207</v>
      </c>
    </row>
    <row r="28" customFormat="false" ht="109.5" hidden="false" customHeight="true" outlineLevel="0" collapsed="false">
      <c r="A28" s="2" t="n">
        <v>27</v>
      </c>
      <c r="B28" s="3"/>
      <c r="C28" s="3" t="s">
        <v>208</v>
      </c>
      <c r="D28" s="3" t="s">
        <v>209</v>
      </c>
      <c r="E28" s="3" t="s">
        <v>210</v>
      </c>
      <c r="F28" s="3" t="s">
        <v>193</v>
      </c>
      <c r="G28" s="3" t="s">
        <v>194</v>
      </c>
      <c r="H28" s="4" t="n">
        <v>799.99</v>
      </c>
      <c r="I28" s="4"/>
      <c r="J28" s="3" t="s">
        <v>211</v>
      </c>
      <c r="K28" s="5"/>
      <c r="L28" s="6"/>
      <c r="M28" s="3" t="s">
        <v>212</v>
      </c>
      <c r="N28" s="7" t="s">
        <v>213</v>
      </c>
      <c r="O28" s="7" t="s">
        <v>214</v>
      </c>
      <c r="P28" s="3" t="s">
        <v>157</v>
      </c>
      <c r="Q28" s="3" t="s">
        <v>198</v>
      </c>
    </row>
    <row r="29" customFormat="false" ht="109.5" hidden="false" customHeight="true" outlineLevel="0" collapsed="false">
      <c r="A29" s="2" t="n">
        <v>28</v>
      </c>
      <c r="B29" s="3"/>
      <c r="C29" s="3" t="s">
        <v>215</v>
      </c>
      <c r="D29" s="3" t="s">
        <v>209</v>
      </c>
      <c r="E29" s="3" t="s">
        <v>216</v>
      </c>
      <c r="F29" s="3" t="s">
        <v>217</v>
      </c>
      <c r="G29" s="3" t="s">
        <v>202</v>
      </c>
      <c r="H29" s="4" t="n">
        <v>789.25</v>
      </c>
      <c r="I29" s="4" t="n">
        <v>1025</v>
      </c>
      <c r="J29" s="3" t="s">
        <v>218</v>
      </c>
      <c r="K29" s="5"/>
      <c r="L29" s="6"/>
      <c r="M29" s="3" t="s">
        <v>212</v>
      </c>
      <c r="N29" s="7" t="s">
        <v>219</v>
      </c>
      <c r="O29" s="7" t="s">
        <v>220</v>
      </c>
      <c r="P29" s="3" t="s">
        <v>157</v>
      </c>
      <c r="Q29" s="3" t="s">
        <v>207</v>
      </c>
    </row>
    <row r="30" customFormat="false" ht="109.5" hidden="false" customHeight="true" outlineLevel="0" collapsed="false">
      <c r="A30" s="2" t="n">
        <v>29</v>
      </c>
      <c r="B30" s="3"/>
      <c r="C30" s="3" t="s">
        <v>221</v>
      </c>
      <c r="D30" s="3" t="s">
        <v>222</v>
      </c>
      <c r="E30" s="3" t="s">
        <v>223</v>
      </c>
      <c r="F30" s="3" t="s">
        <v>193</v>
      </c>
      <c r="G30" s="3" t="s">
        <v>194</v>
      </c>
      <c r="H30" s="4" t="n">
        <v>399.99</v>
      </c>
      <c r="I30" s="4"/>
      <c r="J30" s="3" t="s">
        <v>224</v>
      </c>
      <c r="K30" s="5"/>
      <c r="L30" s="6"/>
      <c r="M30" s="3" t="s">
        <v>225</v>
      </c>
      <c r="N30" s="7" t="s">
        <v>226</v>
      </c>
      <c r="O30" s="7" t="s">
        <v>227</v>
      </c>
      <c r="P30" s="3" t="s">
        <v>157</v>
      </c>
      <c r="Q30" s="3" t="s">
        <v>57</v>
      </c>
    </row>
    <row r="31" customFormat="false" ht="109.5" hidden="false" customHeight="true" outlineLevel="0" collapsed="false">
      <c r="A31" s="2" t="n">
        <v>30</v>
      </c>
      <c r="B31" s="3"/>
      <c r="C31" s="3" t="s">
        <v>228</v>
      </c>
      <c r="D31" s="3" t="s">
        <v>36</v>
      </c>
      <c r="E31" s="3" t="s">
        <v>229</v>
      </c>
      <c r="F31" s="3" t="s">
        <v>193</v>
      </c>
      <c r="G31" s="3" t="s">
        <v>194</v>
      </c>
      <c r="H31" s="4" t="n">
        <v>799.99</v>
      </c>
      <c r="I31" s="4"/>
      <c r="J31" s="3" t="s">
        <v>230</v>
      </c>
      <c r="K31" s="5"/>
      <c r="L31" s="6"/>
      <c r="M31" s="3" t="s">
        <v>231</v>
      </c>
      <c r="N31" s="7" t="s">
        <v>232</v>
      </c>
      <c r="O31" s="7" t="s">
        <v>233</v>
      </c>
      <c r="P31" s="3" t="s">
        <v>157</v>
      </c>
      <c r="Q31" s="3" t="s">
        <v>57</v>
      </c>
    </row>
    <row r="32" customFormat="false" ht="109.5" hidden="false" customHeight="true" outlineLevel="0" collapsed="false">
      <c r="A32" s="2" t="n">
        <v>31</v>
      </c>
      <c r="B32" s="3"/>
      <c r="C32" s="3" t="s">
        <v>234</v>
      </c>
      <c r="D32" s="3" t="s">
        <v>36</v>
      </c>
      <c r="E32" s="3" t="s">
        <v>235</v>
      </c>
      <c r="F32" s="3" t="s">
        <v>185</v>
      </c>
      <c r="G32" s="3" t="s">
        <v>186</v>
      </c>
      <c r="H32" s="4" t="n">
        <v>1095</v>
      </c>
      <c r="I32" s="4"/>
      <c r="J32" s="3" t="s">
        <v>236</v>
      </c>
      <c r="K32" s="5"/>
      <c r="L32" s="6"/>
      <c r="M32" s="3" t="s">
        <v>237</v>
      </c>
      <c r="N32" s="7" t="s">
        <v>238</v>
      </c>
      <c r="O32" s="7" t="s">
        <v>239</v>
      </c>
      <c r="P32" s="3" t="s">
        <v>157</v>
      </c>
      <c r="Q32" s="3" t="s">
        <v>57</v>
      </c>
    </row>
    <row r="33" customFormat="false" ht="109.5" hidden="false" customHeight="true" outlineLevel="0" collapsed="false">
      <c r="A33" s="2" t="n">
        <v>32</v>
      </c>
      <c r="B33" s="3"/>
      <c r="C33" s="3" t="s">
        <v>240</v>
      </c>
      <c r="D33" s="3" t="s">
        <v>183</v>
      </c>
      <c r="E33" s="3" t="s">
        <v>241</v>
      </c>
      <c r="F33" s="3" t="s">
        <v>242</v>
      </c>
      <c r="G33" s="3" t="s">
        <v>194</v>
      </c>
      <c r="H33" s="4" t="n">
        <v>1171.99</v>
      </c>
      <c r="I33" s="4"/>
      <c r="J33" s="3" t="s">
        <v>243</v>
      </c>
      <c r="K33" s="5"/>
      <c r="L33" s="6"/>
      <c r="M33" s="3" t="s">
        <v>244</v>
      </c>
      <c r="N33" s="7" t="s">
        <v>245</v>
      </c>
      <c r="O33" s="7" t="s">
        <v>246</v>
      </c>
      <c r="P33" s="3" t="s">
        <v>157</v>
      </c>
      <c r="Q33" s="3" t="s">
        <v>57</v>
      </c>
    </row>
    <row r="34" customFormat="false" ht="109.5" hidden="false" customHeight="true" outlineLevel="0" collapsed="false">
      <c r="A34" s="2" t="n">
        <v>33</v>
      </c>
      <c r="B34" s="3"/>
      <c r="C34" s="3" t="s">
        <v>247</v>
      </c>
      <c r="D34" s="3" t="s">
        <v>209</v>
      </c>
      <c r="E34" s="3" t="s">
        <v>248</v>
      </c>
      <c r="F34" s="3" t="s">
        <v>185</v>
      </c>
      <c r="G34" s="3" t="s">
        <v>186</v>
      </c>
      <c r="H34" s="4" t="n">
        <v>824</v>
      </c>
      <c r="I34" s="4"/>
      <c r="J34" s="3" t="s">
        <v>249</v>
      </c>
      <c r="K34" s="5"/>
      <c r="L34" s="6"/>
      <c r="M34" s="3" t="s">
        <v>250</v>
      </c>
      <c r="N34" s="7" t="s">
        <v>251</v>
      </c>
      <c r="O34" s="7" t="s">
        <v>252</v>
      </c>
      <c r="P34" s="3" t="s">
        <v>157</v>
      </c>
      <c r="Q34" s="3" t="s">
        <v>57</v>
      </c>
    </row>
    <row r="35" customFormat="false" ht="109.5" hidden="false" customHeight="true" outlineLevel="0" collapsed="false">
      <c r="A35" s="2" t="n">
        <v>34</v>
      </c>
      <c r="B35" s="3"/>
      <c r="C35" s="3" t="s">
        <v>253</v>
      </c>
      <c r="D35" s="3" t="s">
        <v>18</v>
      </c>
      <c r="E35" s="3" t="s">
        <v>254</v>
      </c>
      <c r="F35" s="3" t="s">
        <v>193</v>
      </c>
      <c r="G35" s="3" t="s">
        <v>194</v>
      </c>
      <c r="H35" s="4" t="n">
        <v>799.99</v>
      </c>
      <c r="I35" s="4" t="n">
        <v>899.99</v>
      </c>
      <c r="J35" s="3" t="s">
        <v>255</v>
      </c>
      <c r="K35" s="5"/>
      <c r="L35" s="6"/>
      <c r="M35" s="3" t="s">
        <v>256</v>
      </c>
      <c r="N35" s="7" t="s">
        <v>257</v>
      </c>
      <c r="O35" s="7" t="s">
        <v>258</v>
      </c>
      <c r="P35" s="3" t="s">
        <v>157</v>
      </c>
      <c r="Q35" s="3" t="s">
        <v>57</v>
      </c>
    </row>
    <row r="36" customFormat="false" ht="109.5" hidden="false" customHeight="true" outlineLevel="0" collapsed="false">
      <c r="A36" s="2" t="n">
        <v>35</v>
      </c>
      <c r="B36" s="3"/>
      <c r="C36" s="3" t="s">
        <v>259</v>
      </c>
      <c r="D36" s="3" t="s">
        <v>222</v>
      </c>
      <c r="E36" s="3" t="s">
        <v>260</v>
      </c>
      <c r="F36" s="3" t="s">
        <v>193</v>
      </c>
      <c r="G36" s="3" t="s">
        <v>194</v>
      </c>
      <c r="H36" s="4" t="n">
        <v>329.99</v>
      </c>
      <c r="I36" s="4"/>
      <c r="J36" s="3" t="s">
        <v>261</v>
      </c>
      <c r="K36" s="5"/>
      <c r="L36" s="6"/>
      <c r="M36" s="3" t="s">
        <v>262</v>
      </c>
      <c r="N36" s="7" t="s">
        <v>263</v>
      </c>
      <c r="O36" s="7" t="s">
        <v>264</v>
      </c>
      <c r="P36" s="3" t="s">
        <v>157</v>
      </c>
      <c r="Q36" s="3" t="s">
        <v>57</v>
      </c>
    </row>
    <row r="37" customFormat="false" ht="109.5" hidden="false" customHeight="true" outlineLevel="0" collapsed="false">
      <c r="A37" s="2" t="n">
        <v>36</v>
      </c>
      <c r="B37" s="3"/>
      <c r="C37" s="3" t="s">
        <v>265</v>
      </c>
      <c r="D37" s="3" t="s">
        <v>149</v>
      </c>
      <c r="E37" s="3" t="s">
        <v>266</v>
      </c>
      <c r="F37" s="3" t="s">
        <v>151</v>
      </c>
      <c r="G37" s="3" t="s">
        <v>152</v>
      </c>
      <c r="H37" s="4" t="n">
        <v>275</v>
      </c>
      <c r="I37" s="4"/>
      <c r="J37" s="3" t="s">
        <v>267</v>
      </c>
      <c r="K37" s="5"/>
      <c r="L37" s="6"/>
      <c r="M37" s="3" t="s">
        <v>268</v>
      </c>
      <c r="N37" s="7" t="s">
        <v>269</v>
      </c>
      <c r="O37" s="7" t="s">
        <v>270</v>
      </c>
      <c r="P37" s="3" t="s">
        <v>157</v>
      </c>
      <c r="Q37" s="3" t="s">
        <v>57</v>
      </c>
    </row>
    <row r="38" customFormat="false" ht="109.5" hidden="false" customHeight="true" outlineLevel="0" collapsed="false">
      <c r="A38" s="2" t="n">
        <v>37</v>
      </c>
      <c r="B38" s="3"/>
      <c r="C38" s="3" t="s">
        <v>271</v>
      </c>
      <c r="D38" s="3" t="s">
        <v>149</v>
      </c>
      <c r="E38" s="3" t="s">
        <v>272</v>
      </c>
      <c r="F38" s="3" t="s">
        <v>160</v>
      </c>
      <c r="G38" s="3" t="s">
        <v>161</v>
      </c>
      <c r="H38" s="4" t="n">
        <v>1099</v>
      </c>
      <c r="I38" s="4" t="n">
        <v>1399</v>
      </c>
      <c r="J38" s="3" t="s">
        <v>162</v>
      </c>
      <c r="K38" s="5"/>
      <c r="L38" s="6"/>
      <c r="M38" s="3" t="s">
        <v>273</v>
      </c>
      <c r="N38" s="7" t="s">
        <v>274</v>
      </c>
      <c r="O38" s="7" t="s">
        <v>275</v>
      </c>
      <c r="P38" s="3" t="s">
        <v>157</v>
      </c>
      <c r="Q38" s="3" t="s">
        <v>276</v>
      </c>
    </row>
    <row r="39" customFormat="false" ht="109.5" hidden="false" customHeight="true" outlineLevel="0" collapsed="false">
      <c r="A39" s="2" t="n">
        <v>38</v>
      </c>
      <c r="B39" s="3"/>
      <c r="C39" s="3" t="s">
        <v>277</v>
      </c>
      <c r="D39" s="3" t="s">
        <v>175</v>
      </c>
      <c r="E39" s="3" t="s">
        <v>278</v>
      </c>
      <c r="F39" s="3" t="s">
        <v>151</v>
      </c>
      <c r="G39" s="3" t="s">
        <v>152</v>
      </c>
      <c r="H39" s="4" t="n">
        <v>160</v>
      </c>
      <c r="I39" s="4"/>
      <c r="J39" s="3" t="s">
        <v>279</v>
      </c>
      <c r="K39" s="5"/>
      <c r="L39" s="6"/>
      <c r="M39" s="3" t="s">
        <v>280</v>
      </c>
      <c r="N39" s="7" t="s">
        <v>281</v>
      </c>
      <c r="O39" s="7" t="s">
        <v>282</v>
      </c>
      <c r="P39" s="3" t="s">
        <v>157</v>
      </c>
      <c r="Q39" s="3" t="s">
        <v>181</v>
      </c>
    </row>
    <row r="40" customFormat="false" ht="109.5" hidden="false" customHeight="true" outlineLevel="0" collapsed="false">
      <c r="A40" s="2" t="n">
        <v>39</v>
      </c>
      <c r="B40" s="3"/>
      <c r="C40" s="3" t="s">
        <v>283</v>
      </c>
      <c r="D40" s="3" t="s">
        <v>209</v>
      </c>
      <c r="E40" s="3" t="s">
        <v>284</v>
      </c>
      <c r="F40" s="3" t="s">
        <v>193</v>
      </c>
      <c r="G40" s="3" t="s">
        <v>194</v>
      </c>
      <c r="H40" s="4" t="n">
        <v>599.99</v>
      </c>
      <c r="I40" s="4"/>
      <c r="J40" s="3" t="s">
        <v>211</v>
      </c>
      <c r="K40" s="5"/>
      <c r="L40" s="6"/>
      <c r="M40" s="3" t="s">
        <v>285</v>
      </c>
      <c r="N40" s="7" t="s">
        <v>286</v>
      </c>
      <c r="O40" s="7" t="s">
        <v>287</v>
      </c>
      <c r="P40" s="3" t="s">
        <v>157</v>
      </c>
      <c r="Q40" s="3" t="s">
        <v>57</v>
      </c>
    </row>
    <row r="41" customFormat="false" ht="109.5" hidden="false" customHeight="true" outlineLevel="0" collapsed="false">
      <c r="A41" s="2" t="n">
        <v>40</v>
      </c>
      <c r="B41" s="3"/>
      <c r="C41" s="3" t="s">
        <v>288</v>
      </c>
      <c r="D41" s="3" t="s">
        <v>92</v>
      </c>
      <c r="E41" s="3" t="s">
        <v>289</v>
      </c>
      <c r="F41" s="3" t="s">
        <v>20</v>
      </c>
      <c r="G41" s="3" t="s">
        <v>20</v>
      </c>
      <c r="H41" s="4" t="n">
        <v>479.99</v>
      </c>
      <c r="I41" s="4" t="n">
        <v>699.99</v>
      </c>
      <c r="J41" s="3" t="s">
        <v>290</v>
      </c>
      <c r="K41" s="5" t="n">
        <v>4.9</v>
      </c>
      <c r="L41" s="6" t="n">
        <v>14</v>
      </c>
      <c r="M41" s="3" t="s">
        <v>291</v>
      </c>
      <c r="N41" s="7" t="s">
        <v>292</v>
      </c>
      <c r="O41" s="7" t="s">
        <v>293</v>
      </c>
      <c r="P41" s="3" t="s">
        <v>25</v>
      </c>
      <c r="Q41" s="3" t="s">
        <v>294</v>
      </c>
    </row>
    <row r="42" customFormat="false" ht="109.5" hidden="false" customHeight="true" outlineLevel="0" collapsed="false">
      <c r="A42" s="2" t="n">
        <v>41</v>
      </c>
      <c r="B42" s="3"/>
      <c r="C42" s="3" t="s">
        <v>295</v>
      </c>
      <c r="D42" s="3" t="s">
        <v>222</v>
      </c>
      <c r="E42" s="3" t="s">
        <v>296</v>
      </c>
      <c r="F42" s="3" t="s">
        <v>20</v>
      </c>
      <c r="G42" s="3" t="s">
        <v>20</v>
      </c>
      <c r="H42" s="4" t="n">
        <v>279.99</v>
      </c>
      <c r="I42" s="4" t="n">
        <v>349.99</v>
      </c>
      <c r="J42" s="3" t="s">
        <v>297</v>
      </c>
      <c r="K42" s="5" t="n">
        <v>4.8</v>
      </c>
      <c r="L42" s="6" t="n">
        <v>12</v>
      </c>
      <c r="M42" s="3" t="s">
        <v>298</v>
      </c>
      <c r="N42" s="7" t="s">
        <v>299</v>
      </c>
      <c r="O42" s="7" t="s">
        <v>300</v>
      </c>
      <c r="P42" s="3" t="s">
        <v>25</v>
      </c>
      <c r="Q42" s="3" t="s">
        <v>57</v>
      </c>
    </row>
    <row r="43" customFormat="false" ht="109.5" hidden="false" customHeight="true" outlineLevel="0" collapsed="false">
      <c r="A43" s="2" t="n">
        <v>42</v>
      </c>
      <c r="B43" s="3"/>
      <c r="C43" s="3" t="s">
        <v>301</v>
      </c>
      <c r="D43" s="3" t="s">
        <v>183</v>
      </c>
      <c r="E43" s="3" t="s">
        <v>302</v>
      </c>
      <c r="F43" s="3" t="s">
        <v>20</v>
      </c>
      <c r="G43" s="3" t="s">
        <v>20</v>
      </c>
      <c r="H43" s="4" t="n">
        <v>149.99</v>
      </c>
      <c r="I43" s="4"/>
      <c r="J43" s="3" t="s">
        <v>303</v>
      </c>
      <c r="K43" s="5" t="n">
        <v>5</v>
      </c>
      <c r="L43" s="6" t="n">
        <v>7</v>
      </c>
      <c r="M43" s="3" t="s">
        <v>304</v>
      </c>
      <c r="N43" s="7" t="s">
        <v>305</v>
      </c>
      <c r="O43" s="7" t="s">
        <v>306</v>
      </c>
      <c r="P43" s="3" t="s">
        <v>25</v>
      </c>
      <c r="Q43" s="3" t="s">
        <v>57</v>
      </c>
    </row>
    <row r="44" customFormat="false" ht="109.5" hidden="false" customHeight="true" outlineLevel="0" collapsed="false">
      <c r="A44" s="2" t="n">
        <v>43</v>
      </c>
      <c r="B44" s="3"/>
      <c r="C44" s="3" t="s">
        <v>307</v>
      </c>
      <c r="D44" s="3" t="s">
        <v>149</v>
      </c>
      <c r="E44" s="3" t="s">
        <v>308</v>
      </c>
      <c r="F44" s="3" t="s">
        <v>151</v>
      </c>
      <c r="G44" s="3" t="s">
        <v>152</v>
      </c>
      <c r="H44" s="4" t="n">
        <v>395</v>
      </c>
      <c r="I44" s="4"/>
      <c r="J44" s="3" t="s">
        <v>309</v>
      </c>
      <c r="K44" s="5"/>
      <c r="L44" s="6"/>
      <c r="M44" s="3" t="s">
        <v>310</v>
      </c>
      <c r="N44" s="7" t="s">
        <v>311</v>
      </c>
      <c r="O44" s="7" t="s">
        <v>312</v>
      </c>
      <c r="P44" s="3" t="s">
        <v>157</v>
      </c>
      <c r="Q44" s="3" t="s">
        <v>57</v>
      </c>
    </row>
    <row r="45" customFormat="false" ht="109.5" hidden="false" customHeight="true" outlineLevel="0" collapsed="false">
      <c r="A45" s="2" t="n">
        <v>44</v>
      </c>
      <c r="B45" s="3"/>
      <c r="C45" s="3" t="s">
        <v>313</v>
      </c>
      <c r="D45" s="3" t="s">
        <v>149</v>
      </c>
      <c r="E45" s="3" t="s">
        <v>272</v>
      </c>
      <c r="F45" s="3" t="s">
        <v>160</v>
      </c>
      <c r="G45" s="3" t="s">
        <v>161</v>
      </c>
      <c r="H45" s="4" t="n">
        <v>1399</v>
      </c>
      <c r="I45" s="4" t="n">
        <v>1599</v>
      </c>
      <c r="J45" s="3" t="s">
        <v>314</v>
      </c>
      <c r="K45" s="5"/>
      <c r="L45" s="6"/>
      <c r="M45" s="3" t="s">
        <v>315</v>
      </c>
      <c r="N45" s="7" t="s">
        <v>316</v>
      </c>
      <c r="O45" s="7" t="s">
        <v>317</v>
      </c>
      <c r="P45" s="3" t="s">
        <v>157</v>
      </c>
      <c r="Q45" s="3" t="s">
        <v>57</v>
      </c>
    </row>
    <row r="46" customFormat="false" ht="109.5" hidden="false" customHeight="true" outlineLevel="0" collapsed="false">
      <c r="A46" s="2" t="n">
        <v>45</v>
      </c>
      <c r="B46" s="3"/>
      <c r="C46" s="3" t="s">
        <v>318</v>
      </c>
      <c r="D46" s="3" t="s">
        <v>168</v>
      </c>
      <c r="E46" s="3" t="s">
        <v>319</v>
      </c>
      <c r="F46" s="3" t="s">
        <v>151</v>
      </c>
      <c r="G46" s="3" t="s">
        <v>152</v>
      </c>
      <c r="H46" s="4" t="n">
        <v>135</v>
      </c>
      <c r="I46" s="4"/>
      <c r="J46" s="3" t="s">
        <v>320</v>
      </c>
      <c r="K46" s="5"/>
      <c r="L46" s="6"/>
      <c r="M46" s="3" t="s">
        <v>321</v>
      </c>
      <c r="N46" s="7" t="s">
        <v>322</v>
      </c>
      <c r="O46" s="7" t="s">
        <v>323</v>
      </c>
      <c r="P46" s="3" t="s">
        <v>157</v>
      </c>
      <c r="Q46" s="3" t="s">
        <v>324</v>
      </c>
    </row>
    <row r="47" customFormat="false" ht="109.5" hidden="false" customHeight="true" outlineLevel="0" collapsed="false">
      <c r="A47" s="2" t="n">
        <v>46</v>
      </c>
      <c r="B47" s="3"/>
      <c r="C47" s="3" t="s">
        <v>325</v>
      </c>
      <c r="D47" s="3" t="s">
        <v>175</v>
      </c>
      <c r="E47" s="3" t="s">
        <v>326</v>
      </c>
      <c r="F47" s="3" t="s">
        <v>151</v>
      </c>
      <c r="G47" s="3" t="s">
        <v>152</v>
      </c>
      <c r="H47" s="4" t="n">
        <v>80</v>
      </c>
      <c r="I47" s="4"/>
      <c r="J47" s="3" t="s">
        <v>327</v>
      </c>
      <c r="K47" s="5"/>
      <c r="L47" s="6"/>
      <c r="M47" s="3" t="s">
        <v>328</v>
      </c>
      <c r="N47" s="7" t="s">
        <v>329</v>
      </c>
      <c r="O47" s="7" t="s">
        <v>330</v>
      </c>
      <c r="P47" s="3" t="s">
        <v>157</v>
      </c>
      <c r="Q47" s="3" t="s">
        <v>57</v>
      </c>
    </row>
    <row r="48" customFormat="false" ht="109.5" hidden="false" customHeight="true" outlineLevel="0" collapsed="false">
      <c r="A48" s="2" t="n">
        <v>47</v>
      </c>
      <c r="B48" s="3"/>
      <c r="C48" s="3" t="s">
        <v>331</v>
      </c>
      <c r="D48" s="3" t="s">
        <v>209</v>
      </c>
      <c r="E48" s="3" t="s">
        <v>284</v>
      </c>
      <c r="F48" s="3" t="s">
        <v>193</v>
      </c>
      <c r="G48" s="3" t="s">
        <v>194</v>
      </c>
      <c r="H48" s="4" t="n">
        <v>299.99</v>
      </c>
      <c r="I48" s="4"/>
      <c r="J48" s="3" t="s">
        <v>332</v>
      </c>
      <c r="K48" s="5"/>
      <c r="L48" s="6"/>
      <c r="M48" s="3" t="s">
        <v>333</v>
      </c>
      <c r="N48" s="7" t="s">
        <v>334</v>
      </c>
      <c r="O48" s="7" t="s">
        <v>335</v>
      </c>
      <c r="P48" s="3" t="s">
        <v>157</v>
      </c>
      <c r="Q48" s="3" t="s">
        <v>57</v>
      </c>
    </row>
    <row r="49" customFormat="false" ht="109.5" hidden="false" customHeight="true" outlineLevel="0" collapsed="false">
      <c r="A49" s="2" t="n">
        <v>48</v>
      </c>
      <c r="B49" s="3"/>
      <c r="C49" s="3" t="s">
        <v>336</v>
      </c>
      <c r="D49" s="3" t="s">
        <v>18</v>
      </c>
      <c r="E49" s="3" t="s">
        <v>337</v>
      </c>
      <c r="F49" s="3" t="s">
        <v>217</v>
      </c>
      <c r="G49" s="3" t="s">
        <v>202</v>
      </c>
      <c r="H49" s="4" t="n">
        <v>630.63</v>
      </c>
      <c r="I49" s="4" t="n">
        <v>819</v>
      </c>
      <c r="J49" s="3" t="s">
        <v>218</v>
      </c>
      <c r="K49" s="5"/>
      <c r="L49" s="6"/>
      <c r="M49" s="3" t="s">
        <v>338</v>
      </c>
      <c r="N49" s="7" t="s">
        <v>339</v>
      </c>
      <c r="O49" s="7" t="s">
        <v>340</v>
      </c>
      <c r="P49" s="3" t="s">
        <v>157</v>
      </c>
      <c r="Q49" s="3" t="s">
        <v>207</v>
      </c>
    </row>
    <row r="50" customFormat="false" ht="109.5" hidden="false" customHeight="true" outlineLevel="0" collapsed="false">
      <c r="A50" s="2" t="n">
        <v>49</v>
      </c>
      <c r="B50" s="3"/>
      <c r="C50" s="3" t="s">
        <v>341</v>
      </c>
      <c r="D50" s="3" t="s">
        <v>149</v>
      </c>
      <c r="E50" s="3" t="s">
        <v>308</v>
      </c>
      <c r="F50" s="3" t="s">
        <v>151</v>
      </c>
      <c r="G50" s="3" t="s">
        <v>152</v>
      </c>
      <c r="H50" s="4" t="n">
        <v>350</v>
      </c>
      <c r="I50" s="4"/>
      <c r="J50" s="3" t="s">
        <v>342</v>
      </c>
      <c r="K50" s="5"/>
      <c r="L50" s="6"/>
      <c r="M50" s="3" t="s">
        <v>343</v>
      </c>
      <c r="N50" s="7" t="s">
        <v>344</v>
      </c>
      <c r="O50" s="7" t="s">
        <v>345</v>
      </c>
      <c r="P50" s="3" t="s">
        <v>157</v>
      </c>
      <c r="Q50" s="3" t="s">
        <v>57</v>
      </c>
    </row>
    <row r="51" customFormat="false" ht="109.5" hidden="false" customHeight="true" outlineLevel="0" collapsed="false">
      <c r="A51" s="2" t="n">
        <v>50</v>
      </c>
      <c r="B51" s="3"/>
      <c r="C51" s="3" t="s">
        <v>346</v>
      </c>
      <c r="D51" s="3" t="s">
        <v>222</v>
      </c>
      <c r="E51" s="3" t="s">
        <v>347</v>
      </c>
      <c r="F51" s="3" t="s">
        <v>185</v>
      </c>
      <c r="G51" s="3" t="s">
        <v>186</v>
      </c>
      <c r="H51" s="4" t="n">
        <v>947</v>
      </c>
      <c r="I51" s="4"/>
      <c r="J51" s="3" t="s">
        <v>348</v>
      </c>
      <c r="K51" s="5"/>
      <c r="L51" s="6"/>
      <c r="M51" s="3" t="s">
        <v>349</v>
      </c>
      <c r="N51" s="7" t="s">
        <v>350</v>
      </c>
      <c r="O51" s="7" t="s">
        <v>351</v>
      </c>
      <c r="P51" s="3" t="s">
        <v>157</v>
      </c>
      <c r="Q51" s="3" t="s">
        <v>57</v>
      </c>
    </row>
  </sheetData>
  <autoFilter ref="A1:Q51"/>
  <hyperlinks>
    <hyperlink ref="N2" r:id="rId1" display="https://www.worldmarket.com/p/everett-long-wood-foyer-table-129713.html"/>
    <hyperlink ref="O2" r:id="rId2" display="https://www.worldmarket.com/on/demandware.static/-/Sites-wm-master-catalog/default/dw17f31133/images/large/129713_weatherednatural_v1.jpg?sw=400&amp;sh=400&amp;sm=fit&amp;sfrm=jpg&amp;q=80"/>
    <hyperlink ref="N3" r:id="rId3" display="https://www.worldmarket.com/p/chloe-wood-side-table-128427.html"/>
    <hyperlink ref="O3" r:id="rId4" display="https://www.worldmarket.com/on/demandware.static/-/Sites-wm-master-catalog/default/dw9d25bc33/images/large/128427_mahogony_v1.jpg?sw=400&amp;sh=400&amp;sm=fit&amp;sfrm=jpg&amp;q=80"/>
    <hyperlink ref="N4" r:id="rId5" display="https://www.worldmarket.com/p/augustus-wood-library-bookshelf-130791.html"/>
    <hyperlink ref="O4" r:id="rId6" display="https://www.worldmarket.com/on/demandware.static/-/Sites-wm-master-catalog/default/dwcc8d3441/images/large/130791_roastedcocoa_v1.jpg?sw=400&amp;sh=400&amp;sm=fit&amp;sfrm=jpg&amp;q=80"/>
    <hyperlink ref="N5" r:id="rId7" display="https://www.worldmarket.com/p/sansur-rustic-pecan-live-edge-wood-console-table-565911.html"/>
    <hyperlink ref="O5" r:id="rId8" display="https://www.worldmarket.com/on/demandware.static/-/Sites-wm-master-catalog/default/dw13495290/images/large/85113_XXX_v1.jpg?sw=400&amp;sh=400&amp;sm=fit&amp;sfrm=jpg&amp;q=80"/>
    <hyperlink ref="N6" r:id="rId9" display="https://www.worldmarket.com/p/extra-large-acacia-wood-paddle-cutting-board-544486.html"/>
    <hyperlink ref="O6" r:id="rId10" display="https://www.worldmarket.com/on/demandware.static/-/Sites-wm-master-catalog/default/dw6910c7ec/images/large/69129_XXX_v1.jpg?sw=400&amp;sh=400&amp;sm=fit&amp;sfrm=jpg&amp;q=80"/>
    <hyperlink ref="N7" r:id="rId11" display="https://www.worldmarket.com/p/colette-round-wood-ottoman-tray-125094.html"/>
    <hyperlink ref="O7" r:id="rId12" display="https://www.worldmarket.com/on/demandware.static/-/Sites-wm-master-catalog/default/dwba16ec6d/images/large/125094_black_v1.jpg?sw=400&amp;sh=400&amp;sm=fit&amp;sfrm=jpg&amp;q=80"/>
    <hyperlink ref="N8" r:id="rId13" display="https://www.worldmarket.com/p/teakhaus-large-edge-grain-wood-trencher-cutting-board-592151.html"/>
    <hyperlink ref="O8" r:id="rId14" display="https://www.worldmarket.com/on/demandware.static/-/Sites-wm-master-catalog/default/dwf94072da/images/large/96544_XXX_v1.jpg?sw=400&amp;sh=400&amp;sm=fit&amp;sfrm=jpg&amp;q=80"/>
    <hyperlink ref="N9" r:id="rId15" display="https://www.worldmarket.com/p/dane-acacia-mid-century-modular-bookshelf-with-cabinet-131794.html"/>
    <hyperlink ref="O9" r:id="rId16" display="https://www.worldmarket.com/on/demandware.static/-/Sites-wm-master-catalog/default/dw719a03e5/images/large/131794_walnut_v1.jpg?sw=400&amp;sh=400&amp;sm=fit&amp;sfrm=jpg&amp;q=80"/>
    <hyperlink ref="N10" r:id="rId17" display="https://www.worldmarket.com/p/lansing-hazelnut-mango-wood-asymmetrical-side-table-634446.html"/>
    <hyperlink ref="O10" r:id="rId18" display="https://www.worldmarket.com/on/demandware.static/-/Sites-wm-master-catalog/default/dwa54000f2/images/large/122634_XXX_v1.jpg?sw=400&amp;sh=400&amp;sm=fit&amp;sfrm=jpg&amp;q=80"/>
    <hyperlink ref="N11" r:id="rId19" display="https://www.worldmarket.com/p/tunisian-olive-wood-cutting-board-585206.html"/>
    <hyperlink ref="O11" r:id="rId20" display="https://www.worldmarket.com/on/demandware.static/-/Sites-wm-master-catalog/default/dwbaa4ef9b/images/large/92688_XXX_v1.jpg?sw=400&amp;sh=400&amp;sm=fit&amp;sfrm=jpg&amp;q=80"/>
    <hyperlink ref="N12" r:id="rId21" display="https://www.worldmarket.com/p/craft-avni-arched-natural-carved-wood-floral-storage-cabinet-598655.html"/>
    <hyperlink ref="O12" r:id="rId22" display="https://www.worldmarket.com/on/demandware.static/-/Sites-wm-master-catalog/default/dwbb8342d8/images/large/100650_XXX_v1.jpg?sw=400&amp;sh=400&amp;sm=fit&amp;sfrm=jpg&amp;q=80"/>
    <hyperlink ref="N13" r:id="rId23" display="https://www.worldmarket.com/p/paulownia-wood-tripod-plant-stand-607343.html"/>
    <hyperlink ref="O13" r:id="rId24" display="https://www.worldmarket.com/on/demandware.static/-/Sites-wm-master-catalog/default/dw92e65f20/images/large/106976_XXX_v1.jpg?sw=400&amp;sh=400&amp;sm=fit&amp;sfrm=jpg&amp;q=80"/>
    <hyperlink ref="N14" r:id="rId25" display="https://www.worldmarket.com/p/mango-wood-footed-serving-tray-113191.html"/>
    <hyperlink ref="O14" r:id="rId26" display="https://www.worldmarket.com/on/demandware.static/-/Sites-wm-master-catalog/default/dwc98cff47/images/large/113191_XXX_v1.jpg?sw=400&amp;sh=400&amp;sm=fit&amp;sfrm=jpg&amp;q=80"/>
    <hyperlink ref="N15" r:id="rId27" display="https://www.worldmarket.com/p/anish-round-natural-wood-ribbed-pedestal-side-table-635511.html"/>
    <hyperlink ref="O15" r:id="rId28" display="https://www.worldmarket.com/on/demandware.static/-/Sites-wm-master-catalog/default/dwa2ce24df/images/large/122622_XXX_v1.jpg?sw=400&amp;sh=400&amp;sm=fit&amp;sfrm=jpg&amp;q=80"/>
    <hyperlink ref="N16" r:id="rId29" display="https://www.worldmarket.com/p/craft-short-teal-carved-wood-peacock-storage-cabinet-638915.html"/>
    <hyperlink ref="O16" r:id="rId30" display="https://www.worldmarket.com/on/demandware.static/-/Sites-wm-master-catalog/default/dw56b8bb65/images/large/125084_XXX_v1.jpg?sw=400&amp;sh=400&amp;sm=fit&amp;sfrm=jpg&amp;q=80"/>
    <hyperlink ref="N17" r:id="rId31" display="https://www.worldmarket.com/p/thailand-acacia-wood-serving-bowl-558030.html"/>
    <hyperlink ref="O17" r:id="rId32" display="https://www.worldmarket.com/on/demandware.static/-/Sites-wm-master-catalog/default/dw80243635/images/large/77838_XXX_v1.tif?sw=400&amp;sh=400&amp;sm=fit&amp;sfrm=jpg&amp;q=80"/>
    <hyperlink ref="N18" r:id="rId33" display="https://www.worldmarket.com/p/craft-multicolor-carved-wood-elephant-floor-decor-634762.html"/>
    <hyperlink ref="O18" r:id="rId34" display="https://www.worldmarket.com/on/demandware.static/-/Sites-wm-master-catalog/default/dwfeb04c92/images/large/124485_XXX_v1.jpg?sw=400&amp;sh=400&amp;sm=fit&amp;sfrm=jpg&amp;q=80"/>
    <hyperlink ref="N19" r:id="rId35" display="https://www.worldmarket.com/p/brentwood-round-natural-wood-pedestal-end-table-639923.html"/>
    <hyperlink ref="O19" r:id="rId36" display="https://www.worldmarket.com/dw/image/v2/BJWT_PRD/on/demandware.static/-/Sites-wm-master-catalog/default/dw9e8964cf/images/large/125478_XXX_v1.jpg?sw=385&amp;sh=385&amp;sm=fit&amp;sfrm=jpg&amp;q=80"/>
    <hyperlink ref="N20" r:id="rId37" display="https://www.worldmarket.com/p/carved-mango-wood-group-of-figures-decor-591505.html"/>
    <hyperlink ref="O20" r:id="rId38" display="https://www.worldmarket.com/on/demandware.static/-/Sites-wm-master-catalog/default/dw39ca1048/images/large/95893_XXX_v1.jpg?sw=400&amp;sh=400&amp;sm=fit&amp;sfrm=jpg&amp;q=80"/>
    <hyperlink ref="N21" r:id="rId39" display="https://urliutsav.com/products/white-pooja-mandir-brass-bells"/>
    <hyperlink ref="O21" r:id="rId40" display="https://cdn.shopify.com/s/files/1/0579/1534/2899/files/whitemandir-urliutsav12.jpg?v=1768770308"/>
    <hyperlink ref="N22" r:id="rId41" display="https://themandirstore.us/products/5-x-2-natural-teak-finish-mandir-with-doors"/>
    <hyperlink ref="O22" r:id="rId42" display="https://cdn.shopify.com/s/files/1/0558/5997/0197/files/image_11.png?v=1785515295"/>
    <hyperlink ref="N23" r:id="rId43" display="https://urliutsav.com/products/18x18x6-5-wooden-pooja-chowki-bajot"/>
    <hyperlink ref="O23" r:id="rId44" display="https://cdn.shopify.com/s/files/1/0579/1534/2899/files/PureWhiteChowki-UrliUtsav-main.jpg?v=1769372415"/>
    <hyperlink ref="N24" r:id="rId45" display="https://urliutsav.com/products/hand-painted-jharokha-mirror-12x10"/>
    <hyperlink ref="O24" r:id="rId46" display="https://cdn.shopify.com/s/files/1/0579/1534/2899/files/Jharokha-UrliUtsav-1.jpg?v=1739499307"/>
    <hyperlink ref="N25" r:id="rId47" display="https://worldinteriors.com/products/cordoba-vintage-carved-mirror"/>
    <hyperlink ref="O25" r:id="rId48" display="https://cdn.shopify.com/s/files/1/1871/5825/products/FIZ-MR44-1.jpg?v=1740007620"/>
    <hyperlink ref="N26" r:id="rId49" display="https://timbergirl.com/products/agra-reclaimed-wood-mirror"/>
    <hyperlink ref="O26" r:id="rId50" display="https://cdn.shopify.com/s/files/1/0681/8414/6142/files/AA80000__99674.1710668117.1280.1280.jpg?v=1719700760"/>
    <hyperlink ref="N27" r:id="rId51" display="https://thevintagerealm.com/products/handcrafted-reclaimed-wood-wall-mirror-rustic-rectangular-farmhouse-decor-for-bathroom-bedroom-and-entryway"/>
    <hyperlink ref="O27" r:id="rId52" display="https://cdn.shopify.com/s/files/1/0626/9196/7157/files/handcrafted-reclaimed-wood-wall-mirror-rustic-rectangular-farmhouse-decor-for-bathroom-bedroom-and-entrywayprod-184-01-5329572.webp?v=1787686106"/>
    <hyperlink ref="N28" r:id="rId53" display="https://timbergirl.com/products/mango-wood-coffee-table"/>
    <hyperlink ref="O28" r:id="rId54" display="https://cdn.shopify.com/s/files/1/0681/8414/6142/files/SUN_0229.jpg?v=1737567298"/>
    <hyperlink ref="N29" r:id="rId55" display="https://thevintagerealm.com/products/rustic-low-coffee-table"/>
    <hyperlink ref="O29" r:id="rId56" display="https://cdn.shopify.com/s/files/1/0626/9196/7157/files/rustic-low-coffee-tableprod-159-01-6418904.webp?v=1780394286"/>
    <hyperlink ref="N30" r:id="rId57" display="https://timbergirl.com/products/solid-natural-mango-wood-bench-60"/>
    <hyperlink ref="O30" r:id="rId58" display="https://cdn.shopify.com/s/files/1/0681/8414/6142/files/SUN_2449_2.jpg?v=1753892427"/>
    <hyperlink ref="N31" r:id="rId59" display="https://timbergirl.com/products/reclaimed-wood-tall-rack"/>
    <hyperlink ref="O31" r:id="rId60" display="https://cdn.shopify.com/s/files/1/0681/8414/6142/files/86911955_01.png?v=1731354540"/>
    <hyperlink ref="N32" r:id="rId61" display="https://worldinteriors.com/products/blayne-78-inch-tall-live-edge-bookshelf"/>
    <hyperlink ref="O32" r:id="rId62" display="https://cdn.shopify.com/s/files/1/1871/5825/products/ZWBABS34RW_add.jpg?v=1740007621"/>
    <hyperlink ref="N33" r:id="rId63" display="https://timbergirl.com/products/rhu-home-carved-wooden-mirror"/>
    <hyperlink ref="O33" r:id="rId64" display="https://cdn.shopify.com/s/files/1/0681/8414/6142/files/AAM257_3_Web__79113__67594.1650996873.1280.1280.jpg?v=1719703009"/>
    <hyperlink ref="N34" r:id="rId65" display="https://worldinteriors.com/products/summit-54-modern-coffee-table-in-capri-sheesham"/>
    <hyperlink ref="O34" r:id="rId66" display="https://cdn.shopify.com/s/files/1/1871/5825/files/fsvl-ct54cs_3q1.jpg?v=1740006913"/>
    <hyperlink ref="N35" r:id="rId67" display="https://timbergirl.com/products/timbergirl-old-reclaimed-wood-console-table"/>
    <hyperlink ref="O35" r:id="rId68" display="https://cdn.shopify.com/s/files/1/0681/8414/6142/files/SUN_AA1473_2.png?v=1729543126"/>
    <hyperlink ref="N36" r:id="rId69" display="https://timbergirl.com/products/timbergirl-suman-rustic-multicolor-bench-50"/>
    <hyperlink ref="O36" r:id="rId70" display="https://cdn.shopify.com/s/files/1/0681/8414/6142/files/SUN_7914.jpg?v=1729703958"/>
    <hyperlink ref="N37" r:id="rId71" display="https://urliutsav.com/products/compact-white-gold-wooden-temple"/>
    <hyperlink ref="O37" r:id="rId72" display="https://cdn.shopify.com/s/files/1/0579/1534/2899/files/GoldMandir-8.jpg?v=1770973128"/>
    <hyperlink ref="N38" r:id="rId73" display="https://themandirstore.us/products/5-x-2-white-wooden-pooja-mandir-with-doors"/>
    <hyperlink ref="O38" r:id="rId74" display="https://cdn.shopify.com/s/files/1/0558/5997/0197/files/image_12.png?v=1785515388"/>
    <hyperlink ref="N39" r:id="rId75" display="https://urliutsav.com/products/rajasthani-jharokha-20x16-inches-mirror-frame"/>
    <hyperlink ref="O39" r:id="rId76" display="https://cdn.shopify.com/s/files/1/0579/1534/2899/files/RajasthaniMirrorJharokha5.jpg?v=1735351936"/>
    <hyperlink ref="N40" r:id="rId77" display="https://timbergirl.com/products/seesham-wood-coffee-table"/>
    <hyperlink ref="O40" r:id="rId78" display="https://cdn.shopify.com/s/files/1/0681/8414/6142/files/SUN_8086.jpg?v=1744654739"/>
    <hyperlink ref="N41" r:id="rId79" display="https://www.worldmarket.com/p/craft-indra-espresso-carved-wood-elephant-storage-cabinet-659257.html"/>
    <hyperlink ref="O41" r:id="rId80" display="https://www.worldmarket.com/on/demandware.static/-/Sites-wm-master-catalog/default/dw999fc2d1/images/large/136031_XXX_v1.jpg?sw=400&amp;sh=400&amp;sm=fit&amp;sfrm=jpg&amp;q=80"/>
    <hyperlink ref="N42" r:id="rId81" display="https://www.worldmarket.com/p/nisha-hand-carved-wood-medallion-dining-bench-643234.html"/>
    <hyperlink ref="O42" r:id="rId82" display="https://www.worldmarket.com/on/demandware.static/-/Sites-wm-master-catalog/default/dw103d11e6/images/large/127134_XXX_v1.jpg?sw=400&amp;sh=400&amp;sm=fit&amp;sfrm=jpg&amp;q=80"/>
    <hyperlink ref="N43" r:id="rId83" display="https://www.worldmarket.com/p/mango-wood-arched-antique-floral-hand-painted-wall-mirror-655680.html"/>
    <hyperlink ref="O43" r:id="rId84" display="https://www.worldmarket.com/on/demandware.static/-/Sites-wm-master-catalog/default/dw618345f1/images/large/134392_XXX_v1.jpg?sw=400&amp;sh=400&amp;sm=fit&amp;sfrm=jpg&amp;q=80"/>
    <hyperlink ref="N44" r:id="rId85" display="https://urliutsav.com/products/white-gold-wooden-pooja-mandir-brass-bells"/>
    <hyperlink ref="O44" r:id="rId86" display="https://cdn.shopify.com/s/files/1/0579/1534/2899/files/PoojaMandirWithBell-UrliUtsav-main.jpg?v=1769371926"/>
    <hyperlink ref="N45" r:id="rId87" display="https://themandirstore.us/products/5-x-2-premium-white-finish-mandir-with-doors"/>
    <hyperlink ref="O45" r:id="rId88" display="https://cdn.shopify.com/s/files/1/0558/5997/0197/files/image_14.png?v=1785516483"/>
    <hyperlink ref="N46" r:id="rId89" display="https://urliutsav.com/products/elephant-stool-side-table-dark-brown"/>
    <hyperlink ref="O46" r:id="rId90" display="https://cdn.shopify.com/s/files/1/0579/1534/2899/files/BrownWoodColor-ElephantStool-1.jpg?v=1736138292"/>
    <hyperlink ref="N47" r:id="rId91" display="https://urliutsav.com/products/16-hand-painted-wooden-elephant-head-ethnic-wall-decor"/>
    <hyperlink ref="O47" r:id="rId92" display="https://cdn.shopify.com/s/files/1/0579/1534/2899/files/ElphantHeadSet2.jpg?v=1740714316"/>
    <hyperlink ref="N48" r:id="rId93" display="https://timbergirl.com/products/solid-sheesham-wood-cube-small-coffee-table"/>
    <hyperlink ref="O48" r:id="rId94" display="https://cdn.shopify.com/s/files/1/0681/8414/6142/files/SUN_08-04-2017_Org_22__88520.1680204439.1280.1280.jpg?v=1719699022"/>
    <hyperlink ref="N49" r:id="rId95" display="https://thevintagerealm.com/products/nexora-console-table"/>
    <hyperlink ref="O49" r:id="rId96" display="https://cdn.shopify.com/s/files/1/0626/9196/7157/files/nexora-console-tablemk-0006-01-5051463.png?v=1789426147"/>
    <hyperlink ref="N50" r:id="rId97" display="https://urliutsav.com/products/wooden-pooja-temple-traditional-ghar-mandir"/>
    <hyperlink ref="O50" r:id="rId98" display="https://cdn.shopify.com/s/files/1/0579/1534/2899/files/whitemandir-urliutsav.1.jpg?v=1771108941"/>
    <hyperlink ref="N51" r:id="rId99" display="https://worldinteriors.com/products/rosewood-68-live-edge-bench-in-natural-sheesham"/>
    <hyperlink ref="O51" r:id="rId100" display="https://cdn.shopify.com/s/files/1/1871/5825/files/Rosewood_68_Bench_in_Natural_Sheesham_-_World_Interiors.jpg?v=174000691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22"/>
    <col collapsed="false" customWidth="true" hidden="false" outlineLevel="0" max="4" min="4" style="0" width="14"/>
    <col collapsed="false" customWidth="true" hidden="false" outlineLevel="0" max="5" min="5" style="0" width="9"/>
    <col collapsed="false" customWidth="true" hidden="false" outlineLevel="0" max="6" min="6" style="0" width="32"/>
    <col collapsed="false" customWidth="true" hidden="false" outlineLevel="0" max="8" min="7" style="0" width="14"/>
    <col collapsed="false" customWidth="true" hidden="false" outlineLevel="0" max="9" min="9" style="0" width="70"/>
  </cols>
  <sheetData>
    <row r="1" customFormat="false" ht="31.5" hidden="false" customHeight="true" outlineLevel="0" collapsed="false">
      <c r="A1" s="1" t="s">
        <v>0</v>
      </c>
      <c r="B1" s="1" t="s">
        <v>352</v>
      </c>
      <c r="C1" s="1" t="s">
        <v>353</v>
      </c>
      <c r="D1" s="1" t="s">
        <v>354</v>
      </c>
      <c r="E1" s="1" t="s">
        <v>355</v>
      </c>
      <c r="F1" s="1" t="s">
        <v>356</v>
      </c>
      <c r="G1" s="1" t="s">
        <v>357</v>
      </c>
      <c r="H1" s="1" t="s">
        <v>358</v>
      </c>
      <c r="I1" s="1" t="s">
        <v>359</v>
      </c>
    </row>
    <row r="2" customFormat="false" ht="15" hidden="false" customHeight="false" outlineLevel="0" collapsed="false">
      <c r="A2" s="3" t="n">
        <f aca="false">'Top 50'!A2</f>
        <v>1</v>
      </c>
      <c r="B2" s="3" t="str">
        <f aca="false">'Top 50'!C2</f>
        <v>Everett Long Wood Foyer Table</v>
      </c>
      <c r="C2" s="3" t="str">
        <f aca="false">'Top 50'!D2</f>
        <v>Console table</v>
      </c>
      <c r="D2" s="4" t="n">
        <f aca="false">IF('Top 50'!H2="","",'Top 50'!H2)</f>
        <v>449.99</v>
      </c>
      <c r="E2" s="3" t="s">
        <v>360</v>
      </c>
      <c r="F2" s="3" t="str">
        <f aca="false">IF(E2="","",INDEX($B$56:$B$66,MATCH(E2,$A$56:$A$66,0)))</f>
        <v>Console 120</v>
      </c>
      <c r="G2" s="8" t="n">
        <f aca="false">IF(E2="","",INDEX($C$56:$C$66,MATCH(E2,$A$56:$A$66,0)))</f>
        <v>559</v>
      </c>
      <c r="H2" s="9" t="n">
        <f aca="false">IF(OR(G2="",D2=""),"",G2/D2-1)</f>
        <v>0.24224982777395</v>
      </c>
      <c r="I2" s="3" t="s">
        <v>361</v>
      </c>
    </row>
    <row r="3" customFormat="false" ht="15" hidden="false" customHeight="false" outlineLevel="0" collapsed="false">
      <c r="A3" s="3" t="n">
        <f aca="false">'Top 50'!A3</f>
        <v>2</v>
      </c>
      <c r="B3" s="3" t="str">
        <f aca="false">'Top 50'!C3</f>
        <v>Chloe Wood Side Table</v>
      </c>
      <c r="C3" s="3" t="str">
        <f aca="false">'Top 50'!D3</f>
        <v>Side / end table</v>
      </c>
      <c r="D3" s="4" t="n">
        <f aca="false">IF('Top 50'!H3="","",'Top 50'!H3)</f>
        <v>59.99</v>
      </c>
      <c r="E3" s="3" t="s">
        <v>362</v>
      </c>
      <c r="F3" s="3" t="str">
        <f aca="false">IF(E3="","",INDEX($B$56:$B$66,MATCH(E3,$A$56:$A$66,0)))</f>
        <v>Side table</v>
      </c>
      <c r="G3" s="8" t="n">
        <f aca="false">IF(E3="","",INDEX($C$56:$C$66,MATCH(E3,$A$56:$A$66,0)))</f>
        <v>309</v>
      </c>
      <c r="H3" s="9" t="n">
        <f aca="false">IF(OR(G3="",D3=""),"",G3/D3-1)</f>
        <v>4.15085847641274</v>
      </c>
      <c r="I3" s="3"/>
    </row>
    <row r="4" customFormat="false" ht="15" hidden="false" customHeight="false" outlineLevel="0" collapsed="false">
      <c r="A4" s="3" t="n">
        <f aca="false">'Top 50'!A4</f>
        <v>3</v>
      </c>
      <c r="B4" s="3" t="str">
        <f aca="false">'Top 50'!C4</f>
        <v>Augustus Wood Library Bookshelf</v>
      </c>
      <c r="C4" s="3" t="str">
        <f aca="false">'Top 50'!D4</f>
        <v>Bookshelf</v>
      </c>
      <c r="D4" s="4" t="n">
        <f aca="false">IF('Top 50'!H4="","",'Top 50'!H4)</f>
        <v>799.99</v>
      </c>
      <c r="E4" s="3" t="s">
        <v>363</v>
      </c>
      <c r="F4" s="3" t="str">
        <f aca="false">IF(E4="","",INDEX($B$56:$B$66,MATCH(E4,$A$56:$A$66,0)))</f>
        <v>Bookshelf 5-tier 185 cm</v>
      </c>
      <c r="G4" s="8" t="n">
        <f aca="false">IF(E4="","",INDEX($C$56:$C$66,MATCH(E4,$A$56:$A$66,0)))</f>
        <v>739</v>
      </c>
      <c r="H4" s="9" t="n">
        <f aca="false">IF(OR(G4="",D4=""),"",G4/D4-1)</f>
        <v>-0.0762384529806622</v>
      </c>
      <c r="I4" s="3" t="s">
        <v>364</v>
      </c>
    </row>
    <row r="5" customFormat="false" ht="23.85" hidden="false" customHeight="false" outlineLevel="0" collapsed="false">
      <c r="A5" s="3" t="n">
        <f aca="false">'Top 50'!A5</f>
        <v>4</v>
      </c>
      <c r="B5" s="3" t="str">
        <f aca="false">'Top 50'!C5</f>
        <v>Sansur Rustic Pecan Live Edge Wood Console Table</v>
      </c>
      <c r="C5" s="3" t="str">
        <f aca="false">'Top 50'!D5</f>
        <v>Console table</v>
      </c>
      <c r="D5" s="4" t="n">
        <f aca="false">IF('Top 50'!H5="","",'Top 50'!H5)</f>
        <v>174.99</v>
      </c>
      <c r="E5" s="3" t="s">
        <v>360</v>
      </c>
      <c r="F5" s="3" t="str">
        <f aca="false">IF(E5="","",INDEX($B$56:$B$66,MATCH(E5,$A$56:$A$66,0)))</f>
        <v>Console 120</v>
      </c>
      <c r="G5" s="8" t="n">
        <f aca="false">IF(E5="","",INDEX($C$56:$C$66,MATCH(E5,$A$56:$A$66,0)))</f>
        <v>559</v>
      </c>
      <c r="H5" s="9" t="n">
        <f aca="false">IF(OR(G5="",D5=""),"",G5/D5-1)</f>
        <v>2.19446825532888</v>
      </c>
      <c r="I5" s="3" t="s">
        <v>361</v>
      </c>
    </row>
    <row r="6" customFormat="false" ht="23.85" hidden="false" customHeight="false" outlineLevel="0" collapsed="false">
      <c r="A6" s="3" t="n">
        <f aca="false">'Top 50'!A6</f>
        <v>5</v>
      </c>
      <c r="B6" s="3" t="str">
        <f aca="false">'Top 50'!C6</f>
        <v>Extra Large Acacia Wood Paddle Cutting Board</v>
      </c>
      <c r="C6" s="3" t="str">
        <f aca="false">'Top 50'!D6</f>
        <v>Kitchen &amp; serveware</v>
      </c>
      <c r="D6" s="4" t="n">
        <f aca="false">IF('Top 50'!H6="","",'Top 50'!H6)</f>
        <v>59.99</v>
      </c>
      <c r="E6" s="3" t="s">
        <v>365</v>
      </c>
      <c r="F6" s="3" t="str">
        <f aca="false">IF(E6="","",INDEX($B$56:$B$66,MATCH(E6,$A$56:$A$66,0)))</f>
        <v>Kitchen gift set (tray + board + spoon)</v>
      </c>
      <c r="G6" s="8" t="n">
        <f aca="false">IF(E6="","",INDEX($C$56:$C$66,MATCH(E6,$A$56:$A$66,0)))</f>
        <v>109</v>
      </c>
      <c r="H6" s="9" t="n">
        <f aca="false">IF(OR(G6="",D6=""),"",G6/D6-1)</f>
        <v>0.816969494915819</v>
      </c>
      <c r="I6" s="3" t="s">
        <v>366</v>
      </c>
    </row>
    <row r="7" customFormat="false" ht="15" hidden="false" customHeight="false" outlineLevel="0" collapsed="false">
      <c r="A7" s="3" t="n">
        <f aca="false">'Top 50'!A7</f>
        <v>6</v>
      </c>
      <c r="B7" s="3" t="str">
        <f aca="false">'Top 50'!C7</f>
        <v>Colette Round Wood Ottoman Tray</v>
      </c>
      <c r="C7" s="3" t="str">
        <f aca="false">'Top 50'!D7</f>
        <v>Kitchen &amp; serveware</v>
      </c>
      <c r="D7" s="4" t="n">
        <f aca="false">IF('Top 50'!H7="","",'Top 50'!H7)</f>
        <v>69.99</v>
      </c>
      <c r="E7" s="3" t="s">
        <v>365</v>
      </c>
      <c r="F7" s="3" t="str">
        <f aca="false">IF(E7="","",INDEX($B$56:$B$66,MATCH(E7,$A$56:$A$66,0)))</f>
        <v>Kitchen gift set (tray + board + spoon)</v>
      </c>
      <c r="G7" s="8" t="n">
        <f aca="false">IF(E7="","",INDEX($C$56:$C$66,MATCH(E7,$A$56:$A$66,0)))</f>
        <v>109</v>
      </c>
      <c r="H7" s="9" t="n">
        <f aca="false">IF(OR(G7="",D7=""),"",G7/D7-1)</f>
        <v>0.557365337905415</v>
      </c>
      <c r="I7" s="3" t="s">
        <v>367</v>
      </c>
    </row>
    <row r="8" customFormat="false" ht="23.85" hidden="false" customHeight="false" outlineLevel="0" collapsed="false">
      <c r="A8" s="3" t="n">
        <f aca="false">'Top 50'!A8</f>
        <v>7</v>
      </c>
      <c r="B8" s="3" t="str">
        <f aca="false">'Top 50'!C8</f>
        <v>Teakhaus Large Edge Grain Wood Trencher Cutting Board</v>
      </c>
      <c r="C8" s="3" t="str">
        <f aca="false">'Top 50'!D8</f>
        <v>Kitchen &amp; serveware</v>
      </c>
      <c r="D8" s="4" t="n">
        <f aca="false">IF('Top 50'!H8="","",'Top 50'!H8)</f>
        <v>42.99</v>
      </c>
      <c r="E8" s="3" t="s">
        <v>365</v>
      </c>
      <c r="F8" s="3" t="str">
        <f aca="false">IF(E8="","",INDEX($B$56:$B$66,MATCH(E8,$A$56:$A$66,0)))</f>
        <v>Kitchen gift set (tray + board + spoon)</v>
      </c>
      <c r="G8" s="8" t="n">
        <f aca="false">IF(E8="","",INDEX($C$56:$C$66,MATCH(E8,$A$56:$A$66,0)))</f>
        <v>109</v>
      </c>
      <c r="H8" s="9" t="n">
        <f aca="false">IF(OR(G8="",D8=""),"",G8/D8-1)</f>
        <v>1.53547336589905</v>
      </c>
      <c r="I8" s="3" t="s">
        <v>366</v>
      </c>
    </row>
    <row r="9" customFormat="false" ht="23.85" hidden="false" customHeight="false" outlineLevel="0" collapsed="false">
      <c r="A9" s="3" t="n">
        <f aca="false">'Top 50'!A9</f>
        <v>8</v>
      </c>
      <c r="B9" s="3" t="str">
        <f aca="false">'Top 50'!C9</f>
        <v>Dane Acacia Mid Century Modular Bookshelf with Cabinet</v>
      </c>
      <c r="C9" s="3" t="str">
        <f aca="false">'Top 50'!D9</f>
        <v>Bookshelf</v>
      </c>
      <c r="D9" s="4" t="n">
        <f aca="false">IF('Top 50'!H9="","",'Top 50'!H9)</f>
        <v>649.99</v>
      </c>
      <c r="E9" s="3" t="s">
        <v>363</v>
      </c>
      <c r="F9" s="3" t="str">
        <f aca="false">IF(E9="","",INDEX($B$56:$B$66,MATCH(E9,$A$56:$A$66,0)))</f>
        <v>Bookshelf 5-tier 185 cm</v>
      </c>
      <c r="G9" s="8" t="n">
        <f aca="false">IF(E9="","",INDEX($C$56:$C$66,MATCH(E9,$A$56:$A$66,0)))</f>
        <v>739</v>
      </c>
      <c r="H9" s="9" t="n">
        <f aca="false">IF(OR(G9="",D9=""),"",G9/D9-1)</f>
        <v>0.136940568316436</v>
      </c>
      <c r="I9" s="3" t="s">
        <v>364</v>
      </c>
    </row>
    <row r="10" customFormat="false" ht="23.85" hidden="false" customHeight="false" outlineLevel="0" collapsed="false">
      <c r="A10" s="3" t="n">
        <f aca="false">'Top 50'!A10</f>
        <v>9</v>
      </c>
      <c r="B10" s="3" t="str">
        <f aca="false">'Top 50'!C10</f>
        <v>Lansing Hazelnut Mango Wood Asymmetrical Side Table</v>
      </c>
      <c r="C10" s="3" t="str">
        <f aca="false">'Top 50'!D10</f>
        <v>Side / end table</v>
      </c>
      <c r="D10" s="4" t="n">
        <f aca="false">IF('Top 50'!H10="","",'Top 50'!H10)</f>
        <v>149.99</v>
      </c>
      <c r="E10" s="3" t="s">
        <v>362</v>
      </c>
      <c r="F10" s="3" t="str">
        <f aca="false">IF(E10="","",INDEX($B$56:$B$66,MATCH(E10,$A$56:$A$66,0)))</f>
        <v>Side table</v>
      </c>
      <c r="G10" s="8" t="n">
        <f aca="false">IF(E10="","",INDEX($C$56:$C$66,MATCH(E10,$A$56:$A$66,0)))</f>
        <v>309</v>
      </c>
      <c r="H10" s="9" t="n">
        <f aca="false">IF(OR(G10="",D10=""),"",G10/D10-1)</f>
        <v>1.0601373424895</v>
      </c>
      <c r="I10" s="3"/>
    </row>
    <row r="11" customFormat="false" ht="23.85" hidden="false" customHeight="false" outlineLevel="0" collapsed="false">
      <c r="A11" s="3" t="n">
        <f aca="false">'Top 50'!A11</f>
        <v>10</v>
      </c>
      <c r="B11" s="3" t="str">
        <f aca="false">'Top 50'!C11</f>
        <v>Tunisian Olive Wood Cutting Board</v>
      </c>
      <c r="C11" s="3" t="str">
        <f aca="false">'Top 50'!D11</f>
        <v>Kitchen &amp; serveware</v>
      </c>
      <c r="D11" s="4" t="n">
        <f aca="false">IF('Top 50'!H11="","",'Top 50'!H11)</f>
        <v>29.99</v>
      </c>
      <c r="E11" s="3" t="s">
        <v>365</v>
      </c>
      <c r="F11" s="3" t="str">
        <f aca="false">IF(E11="","",INDEX($B$56:$B$66,MATCH(E11,$A$56:$A$66,0)))</f>
        <v>Kitchen gift set (tray + board + spoon)</v>
      </c>
      <c r="G11" s="8" t="n">
        <f aca="false">IF(E11="","",INDEX($C$56:$C$66,MATCH(E11,$A$56:$A$66,0)))</f>
        <v>109</v>
      </c>
      <c r="H11" s="9" t="n">
        <f aca="false">IF(OR(G11="",D11=""),"",G11/D11-1)</f>
        <v>2.63454484828276</v>
      </c>
      <c r="I11" s="3" t="s">
        <v>366</v>
      </c>
    </row>
    <row r="12" customFormat="false" ht="23.85" hidden="false" customHeight="false" outlineLevel="0" collapsed="false">
      <c r="A12" s="3" t="n">
        <f aca="false">'Top 50'!A12</f>
        <v>11</v>
      </c>
      <c r="B12" s="3" t="str">
        <f aca="false">'Top 50'!C12</f>
        <v>CRAFT Avni Arched Natural Carved Wood Floral Storage Cabinet</v>
      </c>
      <c r="C12" s="3" t="str">
        <f aca="false">'Top 50'!D12</f>
        <v>Storage cabinet / chest</v>
      </c>
      <c r="D12" s="4" t="n">
        <f aca="false">IF('Top 50'!H12="","",'Top 50'!H12)</f>
        <v>1499.99</v>
      </c>
      <c r="E12" s="3"/>
      <c r="F12" s="3" t="str">
        <f aca="false">IF(E12="","",INDEX($B$56:$B$66,MATCH(E12,$A$56:$A$66,0)))</f>
        <v/>
      </c>
      <c r="G12" s="8" t="str">
        <f aca="false">IF(E12="","",INDEX($C$56:$C$66,MATCH(E12,$A$56:$A$66,0)))</f>
        <v/>
      </c>
      <c r="H12" s="9" t="str">
        <f aca="false">IF(OR(G12="",D12=""),"",G12/D12-1)</f>
        <v/>
      </c>
      <c r="I12" s="3" t="s">
        <v>368</v>
      </c>
    </row>
    <row r="13" customFormat="false" ht="15" hidden="false" customHeight="false" outlineLevel="0" collapsed="false">
      <c r="A13" s="3" t="n">
        <f aca="false">'Top 50'!A13</f>
        <v>12</v>
      </c>
      <c r="B13" s="3" t="str">
        <f aca="false">'Top 50'!C13</f>
        <v>Paulownia Wood Tripod Plant Stand</v>
      </c>
      <c r="C13" s="3" t="str">
        <f aca="false">'Top 50'!D13</f>
        <v>Planter / plant stand</v>
      </c>
      <c r="D13" s="4" t="n">
        <f aca="false">IF('Top 50'!H13="","",'Top 50'!H13)</f>
        <v>29.99</v>
      </c>
      <c r="E13" s="3"/>
      <c r="F13" s="3" t="str">
        <f aca="false">IF(E13="","",INDEX($B$56:$B$66,MATCH(E13,$A$56:$A$66,0)))</f>
        <v/>
      </c>
      <c r="G13" s="8" t="str">
        <f aca="false">IF(E13="","",INDEX($C$56:$C$66,MATCH(E13,$A$56:$A$66,0)))</f>
        <v/>
      </c>
      <c r="H13" s="9" t="str">
        <f aca="false">IF(OR(G13="",D13=""),"",G13/D13-1)</f>
        <v/>
      </c>
      <c r="I13" s="3" t="s">
        <v>368</v>
      </c>
    </row>
    <row r="14" customFormat="false" ht="23.85" hidden="false" customHeight="false" outlineLevel="0" collapsed="false">
      <c r="A14" s="3" t="n">
        <f aca="false">'Top 50'!A14</f>
        <v>13</v>
      </c>
      <c r="B14" s="3" t="str">
        <f aca="false">'Top 50'!C14</f>
        <v>Mango Wood Footed Serving Tray</v>
      </c>
      <c r="C14" s="3" t="str">
        <f aca="false">'Top 50'!D14</f>
        <v>Kitchen &amp; serveware</v>
      </c>
      <c r="D14" s="4" t="n">
        <f aca="false">IF('Top 50'!H14="","",'Top 50'!H14)</f>
        <v>34.99</v>
      </c>
      <c r="E14" s="3" t="s">
        <v>365</v>
      </c>
      <c r="F14" s="3" t="str">
        <f aca="false">IF(E14="","",INDEX($B$56:$B$66,MATCH(E14,$A$56:$A$66,0)))</f>
        <v>Kitchen gift set (tray + board + spoon)</v>
      </c>
      <c r="G14" s="8" t="n">
        <f aca="false">IF(E14="","",INDEX($C$56:$C$66,MATCH(E14,$A$56:$A$66,0)))</f>
        <v>109</v>
      </c>
      <c r="H14" s="9" t="n">
        <f aca="false">IF(OR(G14="",D14=""),"",G14/D14-1)</f>
        <v>2.11517576450414</v>
      </c>
      <c r="I14" s="3" t="s">
        <v>366</v>
      </c>
    </row>
    <row r="15" customFormat="false" ht="23.85" hidden="false" customHeight="false" outlineLevel="0" collapsed="false">
      <c r="A15" s="3" t="n">
        <f aca="false">'Top 50'!A15</f>
        <v>14</v>
      </c>
      <c r="B15" s="3" t="str">
        <f aca="false">'Top 50'!C15</f>
        <v>Anish Round Natural Wood Ribbed Pedestal Side Table</v>
      </c>
      <c r="C15" s="3" t="str">
        <f aca="false">'Top 50'!D15</f>
        <v>Side / end table</v>
      </c>
      <c r="D15" s="4" t="n">
        <f aca="false">IF('Top 50'!H15="","",'Top 50'!H15)</f>
        <v>149.99</v>
      </c>
      <c r="E15" s="3" t="s">
        <v>362</v>
      </c>
      <c r="F15" s="3" t="str">
        <f aca="false">IF(E15="","",INDEX($B$56:$B$66,MATCH(E15,$A$56:$A$66,0)))</f>
        <v>Side table</v>
      </c>
      <c r="G15" s="8" t="n">
        <f aca="false">IF(E15="","",INDEX($C$56:$C$66,MATCH(E15,$A$56:$A$66,0)))</f>
        <v>309</v>
      </c>
      <c r="H15" s="9" t="n">
        <f aca="false">IF(OR(G15="",D15=""),"",G15/D15-1)</f>
        <v>1.0601373424895</v>
      </c>
      <c r="I15" s="3"/>
    </row>
    <row r="16" customFormat="false" ht="23.85" hidden="false" customHeight="false" outlineLevel="0" collapsed="false">
      <c r="A16" s="3" t="n">
        <f aca="false">'Top 50'!A16</f>
        <v>15</v>
      </c>
      <c r="B16" s="3" t="str">
        <f aca="false">'Top 50'!C16</f>
        <v>CRAFT Short Teal Carved Wood Peacock Storage Cabinet</v>
      </c>
      <c r="C16" s="3" t="str">
        <f aca="false">'Top 50'!D16</f>
        <v>Storage cabinet / chest</v>
      </c>
      <c r="D16" s="4" t="n">
        <f aca="false">IF('Top 50'!H16="","",'Top 50'!H16)</f>
        <v>699.99</v>
      </c>
      <c r="E16" s="3"/>
      <c r="F16" s="3" t="str">
        <f aca="false">IF(E16="","",INDEX($B$56:$B$66,MATCH(E16,$A$56:$A$66,0)))</f>
        <v/>
      </c>
      <c r="G16" s="8" t="str">
        <f aca="false">IF(E16="","",INDEX($C$56:$C$66,MATCH(E16,$A$56:$A$66,0)))</f>
        <v/>
      </c>
      <c r="H16" s="9" t="str">
        <f aca="false">IF(OR(G16="",D16=""),"",G16/D16-1)</f>
        <v/>
      </c>
      <c r="I16" s="3" t="s">
        <v>368</v>
      </c>
    </row>
    <row r="17" customFormat="false" ht="23.85" hidden="false" customHeight="false" outlineLevel="0" collapsed="false">
      <c r="A17" s="3" t="n">
        <f aca="false">'Top 50'!A17</f>
        <v>16</v>
      </c>
      <c r="B17" s="3" t="str">
        <f aca="false">'Top 50'!C17</f>
        <v>Thailand Acacia Wood Serving Bowl</v>
      </c>
      <c r="C17" s="3" t="str">
        <f aca="false">'Top 50'!D17</f>
        <v>Kitchen &amp; serveware</v>
      </c>
      <c r="D17" s="4" t="n">
        <f aca="false">IF('Top 50'!H17="","",'Top 50'!H17)</f>
        <v>27.98</v>
      </c>
      <c r="E17" s="3" t="s">
        <v>365</v>
      </c>
      <c r="F17" s="3" t="str">
        <f aca="false">IF(E17="","",INDEX($B$56:$B$66,MATCH(E17,$A$56:$A$66,0)))</f>
        <v>Kitchen gift set (tray + board + spoon)</v>
      </c>
      <c r="G17" s="8" t="n">
        <f aca="false">IF(E17="","",INDEX($C$56:$C$66,MATCH(E17,$A$56:$A$66,0)))</f>
        <v>109</v>
      </c>
      <c r="H17" s="9" t="n">
        <f aca="false">IF(OR(G17="",D17=""),"",G17/D17-1)</f>
        <v>2.89563974267334</v>
      </c>
      <c r="I17" s="3" t="s">
        <v>366</v>
      </c>
    </row>
    <row r="18" customFormat="false" ht="23.85" hidden="false" customHeight="false" outlineLevel="0" collapsed="false">
      <c r="A18" s="3" t="n">
        <f aca="false">'Top 50'!A18</f>
        <v>17</v>
      </c>
      <c r="B18" s="3" t="str">
        <f aca="false">'Top 50'!C18</f>
        <v>CRAFT Multicolor Carved Wood Elephant Floor Decor</v>
      </c>
      <c r="C18" s="3" t="str">
        <f aca="false">'Top 50'!D18</f>
        <v>Décor figure</v>
      </c>
      <c r="D18" s="4" t="n">
        <f aca="false">IF('Top 50'!H18="","",'Top 50'!H18)</f>
        <v>249.99</v>
      </c>
      <c r="E18" s="3"/>
      <c r="F18" s="3" t="str">
        <f aca="false">IF(E18="","",INDEX($B$56:$B$66,MATCH(E18,$A$56:$A$66,0)))</f>
        <v/>
      </c>
      <c r="G18" s="8" t="str">
        <f aca="false">IF(E18="","",INDEX($C$56:$C$66,MATCH(E18,$A$56:$A$66,0)))</f>
        <v/>
      </c>
      <c r="H18" s="9" t="str">
        <f aca="false">IF(OR(G18="",D18=""),"",G18/D18-1)</f>
        <v/>
      </c>
      <c r="I18" s="3" t="s">
        <v>368</v>
      </c>
    </row>
    <row r="19" customFormat="false" ht="23.85" hidden="false" customHeight="false" outlineLevel="0" collapsed="false">
      <c r="A19" s="3" t="n">
        <f aca="false">'Top 50'!A19</f>
        <v>18</v>
      </c>
      <c r="B19" s="3" t="str">
        <f aca="false">'Top 50'!C19</f>
        <v>Brentwood Round Natural Wood Pedestal End Table</v>
      </c>
      <c r="C19" s="3" t="str">
        <f aca="false">'Top 50'!D19</f>
        <v>Side / end table</v>
      </c>
      <c r="D19" s="4" t="n">
        <f aca="false">IF('Top 50'!H19="","",'Top 50'!H19)</f>
        <v>149.99</v>
      </c>
      <c r="E19" s="3" t="s">
        <v>362</v>
      </c>
      <c r="F19" s="3" t="str">
        <f aca="false">IF(E19="","",INDEX($B$56:$B$66,MATCH(E19,$A$56:$A$66,0)))</f>
        <v>Side table</v>
      </c>
      <c r="G19" s="8" t="n">
        <f aca="false">IF(E19="","",INDEX($C$56:$C$66,MATCH(E19,$A$56:$A$66,0)))</f>
        <v>309</v>
      </c>
      <c r="H19" s="9" t="n">
        <f aca="false">IF(OR(G19="",D19=""),"",G19/D19-1)</f>
        <v>1.0601373424895</v>
      </c>
      <c r="I19" s="3"/>
    </row>
    <row r="20" customFormat="false" ht="15" hidden="false" customHeight="false" outlineLevel="0" collapsed="false">
      <c r="A20" s="3" t="n">
        <f aca="false">'Top 50'!A20</f>
        <v>19</v>
      </c>
      <c r="B20" s="3" t="str">
        <f aca="false">'Top 50'!C20</f>
        <v>Carved Mango Wood Group of Figures Decor</v>
      </c>
      <c r="C20" s="3" t="str">
        <f aca="false">'Top 50'!D20</f>
        <v>Décor figure</v>
      </c>
      <c r="D20" s="4" t="n">
        <f aca="false">IF('Top 50'!H20="","",'Top 50'!H20)</f>
        <v>89.99</v>
      </c>
      <c r="E20" s="3"/>
      <c r="F20" s="3" t="str">
        <f aca="false">IF(E20="","",INDEX($B$56:$B$66,MATCH(E20,$A$56:$A$66,0)))</f>
        <v/>
      </c>
      <c r="G20" s="8" t="str">
        <f aca="false">IF(E20="","",INDEX($C$56:$C$66,MATCH(E20,$A$56:$A$66,0)))</f>
        <v/>
      </c>
      <c r="H20" s="9" t="str">
        <f aca="false">IF(OR(G20="",D20=""),"",G20/D20-1)</f>
        <v/>
      </c>
      <c r="I20" s="3" t="s">
        <v>368</v>
      </c>
    </row>
    <row r="21" customFormat="false" ht="23.85" hidden="false" customHeight="false" outlineLevel="0" collapsed="false">
      <c r="A21" s="3" t="n">
        <f aca="false">'Top 50'!A21</f>
        <v>20</v>
      </c>
      <c r="B21" s="3" t="str">
        <f aca="false">'Top 50'!C21</f>
        <v>White Wooden Pooja Mandir with Brass Bells &amp; Doors</v>
      </c>
      <c r="C21" s="3" t="str">
        <f aca="false">'Top 50'!D21</f>
        <v>Mandir / pooja unit</v>
      </c>
      <c r="D21" s="4" t="n">
        <f aca="false">IF('Top 50'!H21="","",'Top 50'!H21)</f>
        <v>390</v>
      </c>
      <c r="E21" s="3" t="s">
        <v>369</v>
      </c>
      <c r="F21" s="3" t="str">
        <f aca="false">IF(E21="","",INDEX($B$56:$B$66,MATCH(E21,$A$56:$A$66,0)))</f>
        <v>Carved mandir 2.5 ft</v>
      </c>
      <c r="G21" s="8" t="n">
        <f aca="false">IF(E21="","",INDEX($C$56:$C$66,MATCH(E21,$A$56:$A$66,0)))</f>
        <v>599</v>
      </c>
      <c r="H21" s="9" t="n">
        <f aca="false">IF(OR(G21="",D21=""),"",G21/D21-1)</f>
        <v>0.535897435897436</v>
      </c>
      <c r="I21" s="3" t="s">
        <v>370</v>
      </c>
    </row>
    <row r="22" customFormat="false" ht="15" hidden="false" customHeight="false" outlineLevel="0" collapsed="false">
      <c r="A22" s="3" t="n">
        <f aca="false">'Top 50'!A22</f>
        <v>21</v>
      </c>
      <c r="B22" s="3" t="str">
        <f aca="false">'Top 50'!C22</f>
        <v>5' x 2' Natural Teak Finish Mandir with doors</v>
      </c>
      <c r="C22" s="3" t="str">
        <f aca="false">'Top 50'!D22</f>
        <v>Mandir / pooja unit</v>
      </c>
      <c r="D22" s="4" t="n">
        <f aca="false">IF('Top 50'!H22="","",'Top 50'!H22)</f>
        <v>899</v>
      </c>
      <c r="E22" s="3"/>
      <c r="F22" s="3" t="str">
        <f aca="false">IF(E22="","",INDEX($B$56:$B$66,MATCH(E22,$A$56:$A$66,0)))</f>
        <v/>
      </c>
      <c r="G22" s="8" t="str">
        <f aca="false">IF(E22="","",INDEX($C$56:$C$66,MATCH(E22,$A$56:$A$66,0)))</f>
        <v/>
      </c>
      <c r="H22" s="9" t="str">
        <f aca="false">IF(OR(G22="",D22=""),"",G22/D22-1)</f>
        <v/>
      </c>
      <c r="I22" s="3" t="s">
        <v>371</v>
      </c>
    </row>
    <row r="23" customFormat="false" ht="23.85" hidden="false" customHeight="false" outlineLevel="0" collapsed="false">
      <c r="A23" s="3" t="n">
        <f aca="false">'Top 50'!A23</f>
        <v>22</v>
      </c>
      <c r="B23" s="3" t="str">
        <f aca="false">'Top 50'!C23</f>
        <v>Wooden White Pooja Chowki - 18x18x6.5-Inches Gold Bajot</v>
      </c>
      <c r="C23" s="3" t="str">
        <f aca="false">'Top 50'!D23</f>
        <v>Pooja stool / chowki</v>
      </c>
      <c r="D23" s="4" t="n">
        <f aca="false">IF('Top 50'!H23="","",'Top 50'!H23)</f>
        <v>126</v>
      </c>
      <c r="E23" s="3" t="s">
        <v>372</v>
      </c>
      <c r="F23" s="3" t="str">
        <f aca="false">IF(E23="","",INDEX($B$56:$B$66,MATCH(E23,$A$56:$A$66,0)))</f>
        <v>Carved pooja stool</v>
      </c>
      <c r="G23" s="8" t="n">
        <f aca="false">IF(E23="","",INDEX($C$56:$C$66,MATCH(E23,$A$56:$A$66,0)))</f>
        <v>189</v>
      </c>
      <c r="H23" s="9" t="n">
        <f aca="false">IF(OR(G23="",D23=""),"",G23/D23-1)</f>
        <v>0.5</v>
      </c>
      <c r="I23" s="3"/>
    </row>
    <row r="24" customFormat="false" ht="23.85" hidden="false" customHeight="false" outlineLevel="0" collapsed="false">
      <c r="A24" s="3" t="n">
        <f aca="false">'Top 50'!A24</f>
        <v>23</v>
      </c>
      <c r="B24" s="3" t="str">
        <f aca="false">'Top 50'!C24</f>
        <v>Hand-Painted Jharokha Mirror – 12x10 Inches, 8 Colours</v>
      </c>
      <c r="C24" s="3" t="str">
        <f aca="false">'Top 50'!D24</f>
        <v>Jharokha / carved wall piece</v>
      </c>
      <c r="D24" s="4" t="n">
        <f aca="false">IF('Top 50'!H24="","",'Top 50'!H24)</f>
        <v>60</v>
      </c>
      <c r="E24" s="3" t="s">
        <v>373</v>
      </c>
      <c r="F24" s="3" t="str">
        <f aca="false">IF(E24="","",INDEX($B$56:$B$66,MATCH(E24,$A$56:$A$66,0)))</f>
        <v>Jaali wall panel 60 x 90</v>
      </c>
      <c r="G24" s="8" t="n">
        <f aca="false">IF(E24="","",INDEX($C$56:$C$66,MATCH(E24,$A$56:$A$66,0)))</f>
        <v>219</v>
      </c>
      <c r="H24" s="9" t="n">
        <f aca="false">IF(OR(G24="",D24=""),"",G24/D24-1)</f>
        <v>2.65</v>
      </c>
      <c r="I24" s="3" t="s">
        <v>374</v>
      </c>
    </row>
    <row r="25" customFormat="false" ht="15" hidden="false" customHeight="false" outlineLevel="0" collapsed="false">
      <c r="A25" s="3" t="n">
        <f aca="false">'Top 50'!A25</f>
        <v>24</v>
      </c>
      <c r="B25" s="3" t="str">
        <f aca="false">'Top 50'!C25</f>
        <v>Cordoba Vintage Carved Mirror</v>
      </c>
      <c r="C25" s="3" t="str">
        <f aca="false">'Top 50'!D25</f>
        <v>Carved / wooden mirror</v>
      </c>
      <c r="D25" s="4" t="n">
        <f aca="false">IF('Top 50'!H25="","",'Top 50'!H25)</f>
        <v>500</v>
      </c>
      <c r="E25" s="3" t="s">
        <v>375</v>
      </c>
      <c r="F25" s="3" t="str">
        <f aca="false">IF(E25="","",INDEX($B$56:$B$66,MATCH(E25,$A$56:$A$66,0)))</f>
        <v>Carved mirror 60 x 90</v>
      </c>
      <c r="G25" s="8" t="n">
        <f aca="false">IF(E25="","",INDEX($C$56:$C$66,MATCH(E25,$A$56:$A$66,0)))</f>
        <v>279</v>
      </c>
      <c r="H25" s="9" t="n">
        <f aca="false">IF(OR(G25="",D25=""),"",G25/D25-1)</f>
        <v>-0.442</v>
      </c>
      <c r="I25" s="3" t="s">
        <v>376</v>
      </c>
    </row>
    <row r="26" customFormat="false" ht="15" hidden="false" customHeight="false" outlineLevel="0" collapsed="false">
      <c r="A26" s="3" t="n">
        <f aca="false">'Top 50'!A26</f>
        <v>25</v>
      </c>
      <c r="B26" s="3" t="str">
        <f aca="false">'Top 50'!C26</f>
        <v>Agra Reclaimed Wood Mirror</v>
      </c>
      <c r="C26" s="3" t="str">
        <f aca="false">'Top 50'!D26</f>
        <v>Carved / wooden mirror</v>
      </c>
      <c r="D26" s="4" t="n">
        <f aca="false">IF('Top 50'!H26="","",'Top 50'!H26)</f>
        <v>499.99</v>
      </c>
      <c r="E26" s="3" t="s">
        <v>375</v>
      </c>
      <c r="F26" s="3" t="str">
        <f aca="false">IF(E26="","",INDEX($B$56:$B$66,MATCH(E26,$A$56:$A$66,0)))</f>
        <v>Carved mirror 60 x 90</v>
      </c>
      <c r="G26" s="8" t="n">
        <f aca="false">IF(E26="","",INDEX($C$56:$C$66,MATCH(E26,$A$56:$A$66,0)))</f>
        <v>279</v>
      </c>
      <c r="H26" s="9" t="n">
        <f aca="false">IF(OR(G26="",D26=""),"",G26/D26-1)</f>
        <v>-0.441988839776796</v>
      </c>
      <c r="I26" s="3" t="s">
        <v>376</v>
      </c>
    </row>
    <row r="27" customFormat="false" ht="35.05" hidden="false" customHeight="false" outlineLevel="0" collapsed="false">
      <c r="A27" s="3" t="n">
        <f aca="false">'Top 50'!A27</f>
        <v>26</v>
      </c>
      <c r="B27" s="3" t="str">
        <f aca="false">'Top 50'!C27</f>
        <v>Handcrafted Reclaimed Wood Wall Mirror – Rustic Rectangular Farmhouse Décor for Bathroom, Bedroom and Entryway</v>
      </c>
      <c r="C27" s="3" t="str">
        <f aca="false">'Top 50'!D27</f>
        <v>Carved / wooden mirror</v>
      </c>
      <c r="D27" s="4" t="n">
        <f aca="false">IF('Top 50'!H27="","",'Top 50'!H27)</f>
        <v>103.95</v>
      </c>
      <c r="E27" s="3" t="s">
        <v>375</v>
      </c>
      <c r="F27" s="3" t="str">
        <f aca="false">IF(E27="","",INDEX($B$56:$B$66,MATCH(E27,$A$56:$A$66,0)))</f>
        <v>Carved mirror 60 x 90</v>
      </c>
      <c r="G27" s="8" t="n">
        <f aca="false">IF(E27="","",INDEX($C$56:$C$66,MATCH(E27,$A$56:$A$66,0)))</f>
        <v>279</v>
      </c>
      <c r="H27" s="9" t="n">
        <f aca="false">IF(OR(G27="",D27=""),"",G27/D27-1)</f>
        <v>1.68398268398268</v>
      </c>
      <c r="I27" s="3" t="s">
        <v>376</v>
      </c>
    </row>
    <row r="28" customFormat="false" ht="15" hidden="false" customHeight="false" outlineLevel="0" collapsed="false">
      <c r="A28" s="3" t="n">
        <f aca="false">'Top 50'!A28</f>
        <v>27</v>
      </c>
      <c r="B28" s="3" t="str">
        <f aca="false">'Top 50'!C28</f>
        <v>Mango Wood Coffee Table</v>
      </c>
      <c r="C28" s="3" t="str">
        <f aca="false">'Top 50'!D28</f>
        <v>Coffee table</v>
      </c>
      <c r="D28" s="4" t="n">
        <f aca="false">IF('Top 50'!H28="","",'Top 50'!H28)</f>
        <v>799.99</v>
      </c>
      <c r="E28" s="3" t="s">
        <v>377</v>
      </c>
      <c r="F28" s="3" t="str">
        <f aca="false">IF(E28="","",INDEX($B$56:$B$66,MATCH(E28,$A$56:$A$66,0)))</f>
        <v>Coffee table 90 x 50</v>
      </c>
      <c r="G28" s="8" t="n">
        <f aca="false">IF(E28="","",INDEX($C$56:$C$66,MATCH(E28,$A$56:$A$66,0)))</f>
        <v>459</v>
      </c>
      <c r="H28" s="9" t="n">
        <f aca="false">IF(OR(G28="",D28=""),"",G28/D28-1)</f>
        <v>-0.42624282803535</v>
      </c>
      <c r="I28" s="3" t="s">
        <v>378</v>
      </c>
    </row>
    <row r="29" customFormat="false" ht="15" hidden="false" customHeight="false" outlineLevel="0" collapsed="false">
      <c r="A29" s="3" t="n">
        <f aca="false">'Top 50'!A29</f>
        <v>28</v>
      </c>
      <c r="B29" s="3" t="str">
        <f aca="false">'Top 50'!C29</f>
        <v>Rustic Low Coffee Table</v>
      </c>
      <c r="C29" s="3" t="str">
        <f aca="false">'Top 50'!D29</f>
        <v>Coffee table</v>
      </c>
      <c r="D29" s="4" t="n">
        <f aca="false">IF('Top 50'!H29="","",'Top 50'!H29)</f>
        <v>789.25</v>
      </c>
      <c r="E29" s="3" t="s">
        <v>377</v>
      </c>
      <c r="F29" s="3" t="str">
        <f aca="false">IF(E29="","",INDEX($B$56:$B$66,MATCH(E29,$A$56:$A$66,0)))</f>
        <v>Coffee table 90 x 50</v>
      </c>
      <c r="G29" s="8" t="n">
        <f aca="false">IF(E29="","",INDEX($C$56:$C$66,MATCH(E29,$A$56:$A$66,0)))</f>
        <v>459</v>
      </c>
      <c r="H29" s="9" t="n">
        <f aca="false">IF(OR(G29="",D29=""),"",G29/D29-1)</f>
        <v>-0.418435223313272</v>
      </c>
      <c r="I29" s="3" t="s">
        <v>378</v>
      </c>
    </row>
    <row r="30" customFormat="false" ht="15" hidden="false" customHeight="false" outlineLevel="0" collapsed="false">
      <c r="A30" s="3" t="n">
        <f aca="false">'Top 50'!A30</f>
        <v>29</v>
      </c>
      <c r="B30" s="3" t="str">
        <f aca="false">'Top 50'!C30</f>
        <v>Solid Natural Mango Wood Bench - 60"</v>
      </c>
      <c r="C30" s="3" t="str">
        <f aca="false">'Top 50'!D30</f>
        <v>Bench</v>
      </c>
      <c r="D30" s="4" t="n">
        <f aca="false">IF('Top 50'!H30="","",'Top 50'!H30)</f>
        <v>399.99</v>
      </c>
      <c r="E30" s="3" t="s">
        <v>379</v>
      </c>
      <c r="F30" s="3" t="str">
        <f aca="false">IF(E30="","",INDEX($B$56:$B$66,MATCH(E30,$A$56:$A$66,0)))</f>
        <v>Bench 120</v>
      </c>
      <c r="G30" s="8" t="n">
        <f aca="false">IF(E30="","",INDEX($C$56:$C$66,MATCH(E30,$A$56:$A$66,0)))</f>
        <v>369</v>
      </c>
      <c r="H30" s="9" t="n">
        <f aca="false">IF(OR(G30="",D30=""),"",G30/D30-1)</f>
        <v>-0.0774769369234231</v>
      </c>
      <c r="I30" s="3"/>
    </row>
    <row r="31" customFormat="false" ht="15" hidden="false" customHeight="false" outlineLevel="0" collapsed="false">
      <c r="A31" s="3" t="n">
        <f aca="false">'Top 50'!A31</f>
        <v>30</v>
      </c>
      <c r="B31" s="3" t="str">
        <f aca="false">'Top 50'!C31</f>
        <v>Solid Mango Wood Tall Bookcase</v>
      </c>
      <c r="C31" s="3" t="str">
        <f aca="false">'Top 50'!D31</f>
        <v>Bookshelf</v>
      </c>
      <c r="D31" s="4" t="n">
        <f aca="false">IF('Top 50'!H31="","",'Top 50'!H31)</f>
        <v>799.99</v>
      </c>
      <c r="E31" s="3" t="s">
        <v>363</v>
      </c>
      <c r="F31" s="3" t="str">
        <f aca="false">IF(E31="","",INDEX($B$56:$B$66,MATCH(E31,$A$56:$A$66,0)))</f>
        <v>Bookshelf 5-tier 185 cm</v>
      </c>
      <c r="G31" s="8" t="n">
        <f aca="false">IF(E31="","",INDEX($C$56:$C$66,MATCH(E31,$A$56:$A$66,0)))</f>
        <v>739</v>
      </c>
      <c r="H31" s="9" t="n">
        <f aca="false">IF(OR(G31="",D31=""),"",G31/D31-1)</f>
        <v>-0.0762384529806622</v>
      </c>
      <c r="I31" s="3" t="s">
        <v>364</v>
      </c>
    </row>
    <row r="32" customFormat="false" ht="15" hidden="false" customHeight="false" outlineLevel="0" collapsed="false">
      <c r="A32" s="3" t="n">
        <f aca="false">'Top 50'!A32</f>
        <v>31</v>
      </c>
      <c r="B32" s="3" t="str">
        <f aca="false">'Top 50'!C32</f>
        <v>Blayne 78-Inch Tall Live Edge Bookshelf</v>
      </c>
      <c r="C32" s="3" t="str">
        <f aca="false">'Top 50'!D32</f>
        <v>Bookshelf</v>
      </c>
      <c r="D32" s="4" t="n">
        <f aca="false">IF('Top 50'!H32="","",'Top 50'!H32)</f>
        <v>1095</v>
      </c>
      <c r="E32" s="3" t="s">
        <v>363</v>
      </c>
      <c r="F32" s="3" t="str">
        <f aca="false">IF(E32="","",INDEX($B$56:$B$66,MATCH(E32,$A$56:$A$66,0)))</f>
        <v>Bookshelf 5-tier 185 cm</v>
      </c>
      <c r="G32" s="8" t="n">
        <f aca="false">IF(E32="","",INDEX($C$56:$C$66,MATCH(E32,$A$56:$A$66,0)))</f>
        <v>739</v>
      </c>
      <c r="H32" s="9" t="n">
        <f aca="false">IF(OR(G32="",D32=""),"",G32/D32-1)</f>
        <v>-0.325114155251142</v>
      </c>
      <c r="I32" s="3" t="s">
        <v>364</v>
      </c>
    </row>
    <row r="33" customFormat="false" ht="15" hidden="false" customHeight="false" outlineLevel="0" collapsed="false">
      <c r="A33" s="3" t="n">
        <f aca="false">'Top 50'!A33</f>
        <v>32</v>
      </c>
      <c r="B33" s="3" t="str">
        <f aca="false">'Top 50'!C33</f>
        <v>Carved Wooden Mirror</v>
      </c>
      <c r="C33" s="3" t="str">
        <f aca="false">'Top 50'!D33</f>
        <v>Carved / wooden mirror</v>
      </c>
      <c r="D33" s="4" t="n">
        <f aca="false">IF('Top 50'!H33="","",'Top 50'!H33)</f>
        <v>1171.99</v>
      </c>
      <c r="E33" s="3" t="s">
        <v>375</v>
      </c>
      <c r="F33" s="3" t="str">
        <f aca="false">IF(E33="","",INDEX($B$56:$B$66,MATCH(E33,$A$56:$A$66,0)))</f>
        <v>Carved mirror 60 x 90</v>
      </c>
      <c r="G33" s="8" t="n">
        <f aca="false">IF(E33="","",INDEX($C$56:$C$66,MATCH(E33,$A$56:$A$66,0)))</f>
        <v>279</v>
      </c>
      <c r="H33" s="9" t="n">
        <f aca="false">IF(OR(G33="",D33=""),"",G33/D33-1)</f>
        <v>-0.761943361291479</v>
      </c>
      <c r="I33" s="3" t="s">
        <v>376</v>
      </c>
    </row>
    <row r="34" customFormat="false" ht="23.85" hidden="false" customHeight="false" outlineLevel="0" collapsed="false">
      <c r="A34" s="3" t="n">
        <f aca="false">'Top 50'!A34</f>
        <v>33</v>
      </c>
      <c r="B34" s="3" t="str">
        <f aca="false">'Top 50'!C34</f>
        <v>Summit 54" Modern Coffee Table in Capri Sheesham</v>
      </c>
      <c r="C34" s="3" t="str">
        <f aca="false">'Top 50'!D34</f>
        <v>Coffee table</v>
      </c>
      <c r="D34" s="4" t="n">
        <f aca="false">IF('Top 50'!H34="","",'Top 50'!H34)</f>
        <v>824</v>
      </c>
      <c r="E34" s="3" t="s">
        <v>377</v>
      </c>
      <c r="F34" s="3" t="str">
        <f aca="false">IF(E34="","",INDEX($B$56:$B$66,MATCH(E34,$A$56:$A$66,0)))</f>
        <v>Coffee table 90 x 50</v>
      </c>
      <c r="G34" s="8" t="n">
        <f aca="false">IF(E34="","",INDEX($C$56:$C$66,MATCH(E34,$A$56:$A$66,0)))</f>
        <v>459</v>
      </c>
      <c r="H34" s="9" t="n">
        <f aca="false">IF(OR(G34="",D34=""),"",G34/D34-1)</f>
        <v>-0.442961165048544</v>
      </c>
      <c r="I34" s="3" t="s">
        <v>378</v>
      </c>
    </row>
    <row r="35" customFormat="false" ht="15" hidden="false" customHeight="false" outlineLevel="0" collapsed="false">
      <c r="A35" s="3" t="n">
        <f aca="false">'Top 50'!A35</f>
        <v>34</v>
      </c>
      <c r="B35" s="3" t="str">
        <f aca="false">'Top 50'!C35</f>
        <v>Timbergirl Old reclaimed wood Console Table</v>
      </c>
      <c r="C35" s="3" t="str">
        <f aca="false">'Top 50'!D35</f>
        <v>Console table</v>
      </c>
      <c r="D35" s="4" t="n">
        <f aca="false">IF('Top 50'!H35="","",'Top 50'!H35)</f>
        <v>799.99</v>
      </c>
      <c r="E35" s="3" t="s">
        <v>360</v>
      </c>
      <c r="F35" s="3" t="str">
        <f aca="false">IF(E35="","",INDEX($B$56:$B$66,MATCH(E35,$A$56:$A$66,0)))</f>
        <v>Console 120</v>
      </c>
      <c r="G35" s="8" t="n">
        <f aca="false">IF(E35="","",INDEX($C$56:$C$66,MATCH(E35,$A$56:$A$66,0)))</f>
        <v>559</v>
      </c>
      <c r="H35" s="9" t="n">
        <f aca="false">IF(OR(G35="",D35=""),"",G35/D35-1)</f>
        <v>-0.301241265515819</v>
      </c>
      <c r="I35" s="3" t="s">
        <v>361</v>
      </c>
    </row>
    <row r="36" customFormat="false" ht="15" hidden="false" customHeight="false" outlineLevel="0" collapsed="false">
      <c r="A36" s="3" t="n">
        <f aca="false">'Top 50'!A36</f>
        <v>35</v>
      </c>
      <c r="B36" s="3" t="str">
        <f aca="false">'Top 50'!C36</f>
        <v>Timbergirl Suman Rustic Multicolor Bench - 50"</v>
      </c>
      <c r="C36" s="3" t="str">
        <f aca="false">'Top 50'!D36</f>
        <v>Bench</v>
      </c>
      <c r="D36" s="4" t="n">
        <f aca="false">IF('Top 50'!H36="","",'Top 50'!H36)</f>
        <v>329.99</v>
      </c>
      <c r="E36" s="3" t="s">
        <v>379</v>
      </c>
      <c r="F36" s="3" t="str">
        <f aca="false">IF(E36="","",INDEX($B$56:$B$66,MATCH(E36,$A$56:$A$66,0)))</f>
        <v>Bench 120</v>
      </c>
      <c r="G36" s="8" t="n">
        <f aca="false">IF(E36="","",INDEX($C$56:$C$66,MATCH(E36,$A$56:$A$66,0)))</f>
        <v>369</v>
      </c>
      <c r="H36" s="9" t="n">
        <f aca="false">IF(OR(G36="",D36=""),"",G36/D36-1)</f>
        <v>0.118215703506167</v>
      </c>
      <c r="I36" s="3"/>
    </row>
    <row r="37" customFormat="false" ht="23.85" hidden="false" customHeight="false" outlineLevel="0" collapsed="false">
      <c r="A37" s="3" t="n">
        <f aca="false">'Top 50'!A37</f>
        <v>36</v>
      </c>
      <c r="B37" s="3" t="str">
        <f aca="false">'Top 50'!C37</f>
        <v>White and Gold Wall Hanging Pooja Mandir</v>
      </c>
      <c r="C37" s="3" t="str">
        <f aca="false">'Top 50'!D37</f>
        <v>Mandir / pooja unit</v>
      </c>
      <c r="D37" s="4" t="n">
        <f aca="false">IF('Top 50'!H37="","",'Top 50'!H37)</f>
        <v>275</v>
      </c>
      <c r="E37" s="3" t="s">
        <v>380</v>
      </c>
      <c r="F37" s="3" t="str">
        <f aca="false">IF(E37="","",INDEX($B$56:$B$66,MATCH(E37,$A$56:$A$66,0)))</f>
        <v>Compact mandir 2 ft</v>
      </c>
      <c r="G37" s="8" t="n">
        <f aca="false">IF(E37="","",INDEX($C$56:$C$66,MATCH(E37,$A$56:$A$66,0)))</f>
        <v>449</v>
      </c>
      <c r="H37" s="9" t="n">
        <f aca="false">IF(OR(G37="",D37=""),"",G37/D37-1)</f>
        <v>0.632727272727273</v>
      </c>
      <c r="I37" s="3" t="s">
        <v>381</v>
      </c>
    </row>
    <row r="38" customFormat="false" ht="23.85" hidden="false" customHeight="false" outlineLevel="0" collapsed="false">
      <c r="A38" s="3" t="n">
        <f aca="false">'Top 50'!A38</f>
        <v>37</v>
      </c>
      <c r="B38" s="3" t="str">
        <f aca="false">'Top 50'!C38</f>
        <v>5' x 2' White Wooden Pooja Mandir with Doors for Home</v>
      </c>
      <c r="C38" s="3" t="str">
        <f aca="false">'Top 50'!D38</f>
        <v>Mandir / pooja unit</v>
      </c>
      <c r="D38" s="4" t="n">
        <f aca="false">IF('Top 50'!H38="","",'Top 50'!H38)</f>
        <v>1099</v>
      </c>
      <c r="E38" s="3"/>
      <c r="F38" s="3" t="str">
        <f aca="false">IF(E38="","",INDEX($B$56:$B$66,MATCH(E38,$A$56:$A$66,0)))</f>
        <v/>
      </c>
      <c r="G38" s="8" t="str">
        <f aca="false">IF(E38="","",INDEX($C$56:$C$66,MATCH(E38,$A$56:$A$66,0)))</f>
        <v/>
      </c>
      <c r="H38" s="9" t="str">
        <f aca="false">IF(OR(G38="",D38=""),"",G38/D38-1)</f>
        <v/>
      </c>
      <c r="I38" s="3" t="s">
        <v>371</v>
      </c>
    </row>
    <row r="39" customFormat="false" ht="23.85" hidden="false" customHeight="false" outlineLevel="0" collapsed="false">
      <c r="A39" s="3" t="n">
        <f aca="false">'Top 50'!A39</f>
        <v>38</v>
      </c>
      <c r="B39" s="3" t="str">
        <f aca="false">'Top 50'!C39</f>
        <v>Rajasthani Jharokha Mirror with Opening Doors – 20x16 Inches</v>
      </c>
      <c r="C39" s="3" t="str">
        <f aca="false">'Top 50'!D39</f>
        <v>Jharokha / carved wall piece</v>
      </c>
      <c r="D39" s="4" t="n">
        <f aca="false">IF('Top 50'!H39="","",'Top 50'!H39)</f>
        <v>160</v>
      </c>
      <c r="E39" s="3" t="s">
        <v>373</v>
      </c>
      <c r="F39" s="3" t="str">
        <f aca="false">IF(E39="","",INDEX($B$56:$B$66,MATCH(E39,$A$56:$A$66,0)))</f>
        <v>Jaali wall panel 60 x 90</v>
      </c>
      <c r="G39" s="8" t="n">
        <f aca="false">IF(E39="","",INDEX($C$56:$C$66,MATCH(E39,$A$56:$A$66,0)))</f>
        <v>219</v>
      </c>
      <c r="H39" s="9" t="n">
        <f aca="false">IF(OR(G39="",D39=""),"",G39/D39-1)</f>
        <v>0.36875</v>
      </c>
      <c r="I39" s="3" t="s">
        <v>374</v>
      </c>
    </row>
    <row r="40" customFormat="false" ht="15" hidden="false" customHeight="false" outlineLevel="0" collapsed="false">
      <c r="A40" s="3" t="n">
        <f aca="false">'Top 50'!A40</f>
        <v>39</v>
      </c>
      <c r="B40" s="3" t="str">
        <f aca="false">'Top 50'!C40</f>
        <v>Seesham Wood Coffee Table</v>
      </c>
      <c r="C40" s="3" t="str">
        <f aca="false">'Top 50'!D40</f>
        <v>Coffee table</v>
      </c>
      <c r="D40" s="4" t="n">
        <f aca="false">IF('Top 50'!H40="","",'Top 50'!H40)</f>
        <v>599.99</v>
      </c>
      <c r="E40" s="3" t="s">
        <v>377</v>
      </c>
      <c r="F40" s="3" t="str">
        <f aca="false">IF(E40="","",INDEX($B$56:$B$66,MATCH(E40,$A$56:$A$66,0)))</f>
        <v>Coffee table 90 x 50</v>
      </c>
      <c r="G40" s="8" t="n">
        <f aca="false">IF(E40="","",INDEX($C$56:$C$66,MATCH(E40,$A$56:$A$66,0)))</f>
        <v>459</v>
      </c>
      <c r="H40" s="9" t="n">
        <f aca="false">IF(OR(G40="",D40=""),"",G40/D40-1)</f>
        <v>-0.234987249787497</v>
      </c>
      <c r="I40" s="3" t="s">
        <v>378</v>
      </c>
    </row>
    <row r="41" customFormat="false" ht="23.85" hidden="false" customHeight="false" outlineLevel="0" collapsed="false">
      <c r="A41" s="3" t="n">
        <f aca="false">'Top 50'!A41</f>
        <v>40</v>
      </c>
      <c r="B41" s="3" t="str">
        <f aca="false">'Top 50'!C41</f>
        <v>CRAFT Indra Espresso Carved Wood Elephant Storage Cabinet</v>
      </c>
      <c r="C41" s="3" t="str">
        <f aca="false">'Top 50'!D41</f>
        <v>Storage cabinet / chest</v>
      </c>
      <c r="D41" s="4" t="n">
        <f aca="false">IF('Top 50'!H41="","",'Top 50'!H41)</f>
        <v>479.99</v>
      </c>
      <c r="E41" s="3"/>
      <c r="F41" s="3" t="str">
        <f aca="false">IF(E41="","",INDEX($B$56:$B$66,MATCH(E41,$A$56:$A$66,0)))</f>
        <v/>
      </c>
      <c r="G41" s="8" t="str">
        <f aca="false">IF(E41="","",INDEX($C$56:$C$66,MATCH(E41,$A$56:$A$66,0)))</f>
        <v/>
      </c>
      <c r="H41" s="9" t="str">
        <f aca="false">IF(OR(G41="",D41=""),"",G41/D41-1)</f>
        <v/>
      </c>
      <c r="I41" s="3" t="s">
        <v>368</v>
      </c>
    </row>
    <row r="42" customFormat="false" ht="15" hidden="false" customHeight="false" outlineLevel="0" collapsed="false">
      <c r="A42" s="3" t="n">
        <f aca="false">'Top 50'!A42</f>
        <v>41</v>
      </c>
      <c r="B42" s="3" t="str">
        <f aca="false">'Top 50'!C42</f>
        <v>Nisha Hand Carved Wood Medallion Dining Bench</v>
      </c>
      <c r="C42" s="3" t="str">
        <f aca="false">'Top 50'!D42</f>
        <v>Bench</v>
      </c>
      <c r="D42" s="4" t="n">
        <f aca="false">IF('Top 50'!H42="","",'Top 50'!H42)</f>
        <v>279.99</v>
      </c>
      <c r="E42" s="3" t="s">
        <v>379</v>
      </c>
      <c r="F42" s="3" t="str">
        <f aca="false">IF(E42="","",INDEX($B$56:$B$66,MATCH(E42,$A$56:$A$66,0)))</f>
        <v>Bench 120</v>
      </c>
      <c r="G42" s="8" t="n">
        <f aca="false">IF(E42="","",INDEX($C$56:$C$66,MATCH(E42,$A$56:$A$66,0)))</f>
        <v>369</v>
      </c>
      <c r="H42" s="9" t="n">
        <f aca="false">IF(OR(G42="",D42=""),"",G42/D42-1)</f>
        <v>0.317904210864674</v>
      </c>
      <c r="I42" s="3"/>
    </row>
    <row r="43" customFormat="false" ht="23.85" hidden="false" customHeight="false" outlineLevel="0" collapsed="false">
      <c r="A43" s="3" t="n">
        <f aca="false">'Top 50'!A43</f>
        <v>42</v>
      </c>
      <c r="B43" s="3" t="str">
        <f aca="false">'Top 50'!C43</f>
        <v>Mango Wood Arched Antique Floral Hand Painted Wall Mirror</v>
      </c>
      <c r="C43" s="3" t="str">
        <f aca="false">'Top 50'!D43</f>
        <v>Carved / wooden mirror</v>
      </c>
      <c r="D43" s="4" t="n">
        <f aca="false">IF('Top 50'!H43="","",'Top 50'!H43)</f>
        <v>149.99</v>
      </c>
      <c r="E43" s="3" t="s">
        <v>375</v>
      </c>
      <c r="F43" s="3" t="str">
        <f aca="false">IF(E43="","",INDEX($B$56:$B$66,MATCH(E43,$A$56:$A$66,0)))</f>
        <v>Carved mirror 60 x 90</v>
      </c>
      <c r="G43" s="8" t="n">
        <f aca="false">IF(E43="","",INDEX($C$56:$C$66,MATCH(E43,$A$56:$A$66,0)))</f>
        <v>279</v>
      </c>
      <c r="H43" s="9" t="n">
        <f aca="false">IF(OR(G43="",D43=""),"",G43/D43-1)</f>
        <v>0.860124008267218</v>
      </c>
      <c r="I43" s="3" t="s">
        <v>376</v>
      </c>
    </row>
    <row r="44" customFormat="false" ht="23.85" hidden="false" customHeight="false" outlineLevel="0" collapsed="false">
      <c r="A44" s="3" t="n">
        <f aca="false">'Top 50'!A44</f>
        <v>43</v>
      </c>
      <c r="B44" s="3" t="str">
        <f aca="false">'Top 50'!C44</f>
        <v>30-Inches White &amp; Gold Wooden Pooja Mandir with Hanging Bells</v>
      </c>
      <c r="C44" s="3" t="str">
        <f aca="false">'Top 50'!D44</f>
        <v>Mandir / pooja unit</v>
      </c>
      <c r="D44" s="4" t="n">
        <f aca="false">IF('Top 50'!H44="","",'Top 50'!H44)</f>
        <v>395</v>
      </c>
      <c r="E44" s="3" t="s">
        <v>369</v>
      </c>
      <c r="F44" s="3" t="str">
        <f aca="false">IF(E44="","",INDEX($B$56:$B$66,MATCH(E44,$A$56:$A$66,0)))</f>
        <v>Carved mandir 2.5 ft</v>
      </c>
      <c r="G44" s="8" t="n">
        <f aca="false">IF(E44="","",INDEX($C$56:$C$66,MATCH(E44,$A$56:$A$66,0)))</f>
        <v>599</v>
      </c>
      <c r="H44" s="9" t="n">
        <f aca="false">IF(OR(G44="",D44=""),"",G44/D44-1)</f>
        <v>0.516455696202532</v>
      </c>
      <c r="I44" s="3" t="s">
        <v>370</v>
      </c>
    </row>
    <row r="45" customFormat="false" ht="15" hidden="false" customHeight="false" outlineLevel="0" collapsed="false">
      <c r="A45" s="3" t="n">
        <f aca="false">'Top 50'!A45</f>
        <v>44</v>
      </c>
      <c r="B45" s="3" t="str">
        <f aca="false">'Top 50'!C45</f>
        <v>5.5' x 2.5' Premium White Finish Mandir with doors</v>
      </c>
      <c r="C45" s="3" t="str">
        <f aca="false">'Top 50'!D45</f>
        <v>Mandir / pooja unit</v>
      </c>
      <c r="D45" s="4" t="n">
        <f aca="false">IF('Top 50'!H45="","",'Top 50'!H45)</f>
        <v>1399</v>
      </c>
      <c r="E45" s="3"/>
      <c r="F45" s="3" t="str">
        <f aca="false">IF(E45="","",INDEX($B$56:$B$66,MATCH(E45,$A$56:$A$66,0)))</f>
        <v/>
      </c>
      <c r="G45" s="8" t="str">
        <f aca="false">IF(E45="","",INDEX($C$56:$C$66,MATCH(E45,$A$56:$A$66,0)))</f>
        <v/>
      </c>
      <c r="H45" s="9" t="str">
        <f aca="false">IF(OR(G45="",D45=""),"",G45/D45-1)</f>
        <v/>
      </c>
      <c r="I45" s="3" t="s">
        <v>371</v>
      </c>
    </row>
    <row r="46" customFormat="false" ht="23.85" hidden="false" customHeight="false" outlineLevel="0" collapsed="false">
      <c r="A46" s="3" t="n">
        <f aca="false">'Top 50'!A46</f>
        <v>45</v>
      </c>
      <c r="B46" s="3" t="str">
        <f aca="false">'Top 50'!C46</f>
        <v>Elephant Stool Side Table - Dark Brown Wood, 4 Designs</v>
      </c>
      <c r="C46" s="3" t="str">
        <f aca="false">'Top 50'!D46</f>
        <v>Pooja stool / chowki</v>
      </c>
      <c r="D46" s="4" t="n">
        <f aca="false">IF('Top 50'!H46="","",'Top 50'!H46)</f>
        <v>135</v>
      </c>
      <c r="E46" s="3" t="s">
        <v>372</v>
      </c>
      <c r="F46" s="3" t="str">
        <f aca="false">IF(E46="","",INDEX($B$56:$B$66,MATCH(E46,$A$56:$A$66,0)))</f>
        <v>Carved pooja stool</v>
      </c>
      <c r="G46" s="8" t="n">
        <f aca="false">IF(E46="","",INDEX($C$56:$C$66,MATCH(E46,$A$56:$A$66,0)))</f>
        <v>189</v>
      </c>
      <c r="H46" s="9" t="n">
        <f aca="false">IF(OR(G46="",D46=""),"",G46/D46-1)</f>
        <v>0.4</v>
      </c>
      <c r="I46" s="3" t="s">
        <v>382</v>
      </c>
    </row>
    <row r="47" customFormat="false" ht="23.85" hidden="false" customHeight="false" outlineLevel="0" collapsed="false">
      <c r="A47" s="3" t="n">
        <f aca="false">'Top 50'!A47</f>
        <v>46</v>
      </c>
      <c r="B47" s="3" t="str">
        <f aca="false">'Top 50'!C47</f>
        <v>Wooden Elephant Head Wall Art - 17-Inch Hand-Carved, 6 Colours</v>
      </c>
      <c r="C47" s="3" t="str">
        <f aca="false">'Top 50'!D47</f>
        <v>Jharokha / carved wall piece</v>
      </c>
      <c r="D47" s="4" t="n">
        <f aca="false">IF('Top 50'!H47="","",'Top 50'!H47)</f>
        <v>80</v>
      </c>
      <c r="E47" s="3"/>
      <c r="F47" s="3" t="str">
        <f aca="false">IF(E47="","",INDEX($B$56:$B$66,MATCH(E47,$A$56:$A$66,0)))</f>
        <v/>
      </c>
      <c r="G47" s="8" t="str">
        <f aca="false">IF(E47="","",INDEX($C$56:$C$66,MATCH(E47,$A$56:$A$66,0)))</f>
        <v/>
      </c>
      <c r="H47" s="9" t="str">
        <f aca="false">IF(OR(G47="",D47=""),"",G47/D47-1)</f>
        <v/>
      </c>
      <c r="I47" s="3" t="s">
        <v>383</v>
      </c>
    </row>
    <row r="48" customFormat="false" ht="15" hidden="false" customHeight="false" outlineLevel="0" collapsed="false">
      <c r="A48" s="3" t="n">
        <f aca="false">'Top 50'!A48</f>
        <v>47</v>
      </c>
      <c r="B48" s="3" t="str">
        <f aca="false">'Top 50'!C48</f>
        <v>Solid Sheesham wood Cube Small Coffee table</v>
      </c>
      <c r="C48" s="3" t="str">
        <f aca="false">'Top 50'!D48</f>
        <v>Coffee table</v>
      </c>
      <c r="D48" s="4" t="n">
        <f aca="false">IF('Top 50'!H48="","",'Top 50'!H48)</f>
        <v>299.99</v>
      </c>
      <c r="E48" s="3" t="s">
        <v>377</v>
      </c>
      <c r="F48" s="3" t="str">
        <f aca="false">IF(E48="","",INDEX($B$56:$B$66,MATCH(E48,$A$56:$A$66,0)))</f>
        <v>Coffee table 90 x 50</v>
      </c>
      <c r="G48" s="8" t="n">
        <f aca="false">IF(E48="","",INDEX($C$56:$C$66,MATCH(E48,$A$56:$A$66,0)))</f>
        <v>459</v>
      </c>
      <c r="H48" s="9" t="n">
        <f aca="false">IF(OR(G48="",D48=""),"",G48/D48-1)</f>
        <v>0.530051001700057</v>
      </c>
      <c r="I48" s="3" t="s">
        <v>378</v>
      </c>
    </row>
    <row r="49" customFormat="false" ht="15" hidden="false" customHeight="false" outlineLevel="0" collapsed="false">
      <c r="A49" s="3" t="n">
        <f aca="false">'Top 50'!A49</f>
        <v>48</v>
      </c>
      <c r="B49" s="3" t="str">
        <f aca="false">'Top 50'!C49</f>
        <v>Nexora Console Table</v>
      </c>
      <c r="C49" s="3" t="str">
        <f aca="false">'Top 50'!D49</f>
        <v>Console table</v>
      </c>
      <c r="D49" s="4" t="n">
        <f aca="false">IF('Top 50'!H49="","",'Top 50'!H49)</f>
        <v>630.63</v>
      </c>
      <c r="E49" s="3" t="s">
        <v>360</v>
      </c>
      <c r="F49" s="3" t="str">
        <f aca="false">IF(E49="","",INDEX($B$56:$B$66,MATCH(E49,$A$56:$A$66,0)))</f>
        <v>Console 120</v>
      </c>
      <c r="G49" s="8" t="n">
        <f aca="false">IF(E49="","",INDEX($C$56:$C$66,MATCH(E49,$A$56:$A$66,0)))</f>
        <v>559</v>
      </c>
      <c r="H49" s="9" t="n">
        <f aca="false">IF(OR(G49="",D49=""),"",G49/D49-1)</f>
        <v>-0.113584827870542</v>
      </c>
      <c r="I49" s="3" t="s">
        <v>361</v>
      </c>
    </row>
    <row r="50" customFormat="false" ht="15" hidden="false" customHeight="false" outlineLevel="0" collapsed="false">
      <c r="A50" s="3" t="n">
        <f aca="false">'Top 50'!A50</f>
        <v>49</v>
      </c>
      <c r="B50" s="3" t="str">
        <f aca="false">'Top 50'!C50</f>
        <v>Wooden Pooja Temple – Traditional Ghar Mandir</v>
      </c>
      <c r="C50" s="3" t="str">
        <f aca="false">'Top 50'!D50</f>
        <v>Mandir / pooja unit</v>
      </c>
      <c r="D50" s="4" t="n">
        <f aca="false">IF('Top 50'!H50="","",'Top 50'!H50)</f>
        <v>350</v>
      </c>
      <c r="E50" s="3" t="s">
        <v>369</v>
      </c>
      <c r="F50" s="3" t="str">
        <f aca="false">IF(E50="","",INDEX($B$56:$B$66,MATCH(E50,$A$56:$A$66,0)))</f>
        <v>Carved mandir 2.5 ft</v>
      </c>
      <c r="G50" s="8" t="n">
        <f aca="false">IF(E50="","",INDEX($C$56:$C$66,MATCH(E50,$A$56:$A$66,0)))</f>
        <v>599</v>
      </c>
      <c r="H50" s="9" t="n">
        <f aca="false">IF(OR(G50="",D50=""),"",G50/D50-1)</f>
        <v>0.711428571428572</v>
      </c>
      <c r="I50" s="3" t="s">
        <v>370</v>
      </c>
    </row>
    <row r="51" customFormat="false" ht="23.85" hidden="false" customHeight="false" outlineLevel="0" collapsed="false">
      <c r="A51" s="3" t="n">
        <f aca="false">'Top 50'!A51</f>
        <v>50</v>
      </c>
      <c r="B51" s="3" t="str">
        <f aca="false">'Top 50'!C51</f>
        <v>Rosewood 68" Live Edge Bench in Natural Sheesham</v>
      </c>
      <c r="C51" s="3" t="str">
        <f aca="false">'Top 50'!D51</f>
        <v>Bench</v>
      </c>
      <c r="D51" s="4" t="n">
        <f aca="false">IF('Top 50'!H51="","",'Top 50'!H51)</f>
        <v>947</v>
      </c>
      <c r="E51" s="3" t="s">
        <v>379</v>
      </c>
      <c r="F51" s="3" t="str">
        <f aca="false">IF(E51="","",INDEX($B$56:$B$66,MATCH(E51,$A$56:$A$66,0)))</f>
        <v>Bench 120</v>
      </c>
      <c r="G51" s="8" t="n">
        <f aca="false">IF(E51="","",INDEX($C$56:$C$66,MATCH(E51,$A$56:$A$66,0)))</f>
        <v>369</v>
      </c>
      <c r="H51" s="9" t="n">
        <f aca="false">IF(OR(G51="",D51=""),"",G51/D51-1)</f>
        <v>-0.610348468848997</v>
      </c>
      <c r="I51" s="3"/>
    </row>
    <row r="54" customFormat="false" ht="15" hidden="false" customHeight="false" outlineLevel="0" collapsed="false">
      <c r="A54" s="10" t="s">
        <v>384</v>
      </c>
    </row>
    <row r="55" customFormat="false" ht="15" hidden="false" customHeight="false" outlineLevel="0" collapsed="false">
      <c r="A55" s="11" t="s">
        <v>385</v>
      </c>
      <c r="B55" s="11" t="s">
        <v>386</v>
      </c>
      <c r="C55" s="11" t="s">
        <v>387</v>
      </c>
    </row>
    <row r="56" customFormat="false" ht="15" hidden="false" customHeight="false" outlineLevel="0" collapsed="false">
      <c r="A56" s="12" t="s">
        <v>369</v>
      </c>
      <c r="B56" s="12" t="s">
        <v>388</v>
      </c>
      <c r="C56" s="13" t="n">
        <v>599</v>
      </c>
    </row>
    <row r="57" customFormat="false" ht="15" hidden="false" customHeight="false" outlineLevel="0" collapsed="false">
      <c r="A57" s="12" t="s">
        <v>380</v>
      </c>
      <c r="B57" s="12" t="s">
        <v>389</v>
      </c>
      <c r="C57" s="13" t="n">
        <v>449</v>
      </c>
    </row>
    <row r="58" customFormat="false" ht="15" hidden="false" customHeight="false" outlineLevel="0" collapsed="false">
      <c r="A58" s="12" t="s">
        <v>375</v>
      </c>
      <c r="B58" s="12" t="s">
        <v>390</v>
      </c>
      <c r="C58" s="13" t="n">
        <v>279</v>
      </c>
    </row>
    <row r="59" customFormat="false" ht="15" hidden="false" customHeight="false" outlineLevel="0" collapsed="false">
      <c r="A59" s="12" t="s">
        <v>373</v>
      </c>
      <c r="B59" s="12" t="s">
        <v>391</v>
      </c>
      <c r="C59" s="13" t="n">
        <v>219</v>
      </c>
    </row>
    <row r="60" customFormat="false" ht="15" hidden="false" customHeight="false" outlineLevel="0" collapsed="false">
      <c r="A60" s="12" t="s">
        <v>377</v>
      </c>
      <c r="B60" s="12" t="s">
        <v>392</v>
      </c>
      <c r="C60" s="13" t="n">
        <v>459</v>
      </c>
    </row>
    <row r="61" customFormat="false" ht="15" hidden="false" customHeight="false" outlineLevel="0" collapsed="false">
      <c r="A61" s="12" t="s">
        <v>362</v>
      </c>
      <c r="B61" s="12" t="s">
        <v>393</v>
      </c>
      <c r="C61" s="13" t="n">
        <v>309</v>
      </c>
    </row>
    <row r="62" customFormat="false" ht="15" hidden="false" customHeight="false" outlineLevel="0" collapsed="false">
      <c r="A62" s="12" t="s">
        <v>360</v>
      </c>
      <c r="B62" s="12" t="s">
        <v>394</v>
      </c>
      <c r="C62" s="13" t="n">
        <v>559</v>
      </c>
    </row>
    <row r="63" customFormat="false" ht="15" hidden="false" customHeight="false" outlineLevel="0" collapsed="false">
      <c r="A63" s="12" t="s">
        <v>379</v>
      </c>
      <c r="B63" s="12" t="s">
        <v>395</v>
      </c>
      <c r="C63" s="13" t="n">
        <v>369</v>
      </c>
    </row>
    <row r="64" customFormat="false" ht="15" hidden="false" customHeight="false" outlineLevel="0" collapsed="false">
      <c r="A64" s="12" t="s">
        <v>363</v>
      </c>
      <c r="B64" s="12" t="s">
        <v>396</v>
      </c>
      <c r="C64" s="13" t="n">
        <v>739</v>
      </c>
    </row>
    <row r="65" customFormat="false" ht="15" hidden="false" customHeight="false" outlineLevel="0" collapsed="false">
      <c r="A65" s="12" t="s">
        <v>372</v>
      </c>
      <c r="B65" s="12" t="s">
        <v>397</v>
      </c>
      <c r="C65" s="13" t="n">
        <v>189</v>
      </c>
    </row>
    <row r="66" customFormat="false" ht="15" hidden="false" customHeight="false" outlineLevel="0" collapsed="false">
      <c r="A66" s="12" t="s">
        <v>365</v>
      </c>
      <c r="B66" s="12" t="s">
        <v>398</v>
      </c>
      <c r="C66" s="13" t="n">
        <v>109</v>
      </c>
    </row>
  </sheetData>
  <autoFilter ref="A1:I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
    <col collapsed="false" customWidth="true" hidden="false" outlineLevel="0" max="3" min="3" style="0" width="15"/>
    <col collapsed="false" customWidth="true" hidden="false" outlineLevel="0" max="4" min="4" style="0" width="17"/>
    <col collapsed="false" customWidth="true" hidden="false" outlineLevel="0" max="5" min="5" style="0" width="15"/>
    <col collapsed="false" customWidth="true" hidden="false" outlineLevel="0" max="6" min="6" style="0" width="10"/>
    <col collapsed="false" customWidth="true" hidden="false" outlineLevel="0" max="8" min="7" style="0" width="17"/>
  </cols>
  <sheetData>
    <row r="1" customFormat="false" ht="23.85" hidden="false" customHeight="false" outlineLevel="0" collapsed="false">
      <c r="A1" s="1" t="s">
        <v>3</v>
      </c>
      <c r="B1" s="1" t="s">
        <v>399</v>
      </c>
      <c r="C1" s="1" t="s">
        <v>400</v>
      </c>
      <c r="D1" s="1" t="s">
        <v>401</v>
      </c>
      <c r="E1" s="1" t="s">
        <v>402</v>
      </c>
      <c r="F1" s="1" t="s">
        <v>355</v>
      </c>
      <c r="G1" s="1" t="s">
        <v>403</v>
      </c>
      <c r="H1" s="1" t="s">
        <v>404</v>
      </c>
    </row>
    <row r="2" customFormat="false" ht="15" hidden="false" customHeight="false" outlineLevel="0" collapsed="false">
      <c r="A2" s="14" t="s">
        <v>18</v>
      </c>
      <c r="B2" s="14" t="n">
        <f aca="false">COUNTIF('Top 50'!$D$2:$D$51,A2)</f>
        <v>4</v>
      </c>
      <c r="C2" s="15" t="n">
        <f aca="false">_xlfn.MINIFS('Top 50'!$H$2:$H$51,'Top 50'!$D$2:$D$51,A2)</f>
        <v>174.99</v>
      </c>
      <c r="D2" s="15" t="n">
        <f aca="false" t="array" ref="D2:D2">MEDIAN(IF(('Top 50'!$D$2:$D$51=A2)*ISNUMBER('Top 50'!$H$2:$H$51),'Top 50'!$H$2:$H$51))</f>
        <v>540.31</v>
      </c>
      <c r="E2" s="15" t="n">
        <f aca="false">_xlfn.MAXIFS('Top 50'!$H$2:$H$51,'Top 50'!$D$2:$D$51,A2)</f>
        <v>799.99</v>
      </c>
      <c r="F2" s="14" t="s">
        <v>360</v>
      </c>
      <c r="G2" s="15" t="n">
        <f aca="false">IF(F2="","",INDEX('Our target'!$C$56:$C$66,MATCH(F2,'Our target'!$A$56:$A$66,0)))</f>
        <v>559</v>
      </c>
      <c r="H2" s="16" t="n">
        <f aca="false">IF(OR(G2="",D2=""),"",G2/D2-1)</f>
        <v>0.034591253169477</v>
      </c>
    </row>
    <row r="3" customFormat="false" ht="15" hidden="false" customHeight="false" outlineLevel="0" collapsed="false">
      <c r="A3" s="14" t="s">
        <v>28</v>
      </c>
      <c r="B3" s="14" t="n">
        <f aca="false">COUNTIF('Top 50'!$D$2:$D$51,A3)</f>
        <v>4</v>
      </c>
      <c r="C3" s="15" t="n">
        <f aca="false">_xlfn.MINIFS('Top 50'!$H$2:$H$51,'Top 50'!$D$2:$D$51,A3)</f>
        <v>59.99</v>
      </c>
      <c r="D3" s="15" t="n">
        <f aca="false" t="array" ref="D3:D3">MEDIAN(IF(('Top 50'!$D$2:$D$51=A3)*ISNUMBER('Top 50'!$H$2:$H$51),'Top 50'!$H$2:$H$51))</f>
        <v>149.99</v>
      </c>
      <c r="E3" s="15" t="n">
        <f aca="false">_xlfn.MAXIFS('Top 50'!$H$2:$H$51,'Top 50'!$D$2:$D$51,A3)</f>
        <v>149.99</v>
      </c>
      <c r="F3" s="14" t="s">
        <v>362</v>
      </c>
      <c r="G3" s="15" t="n">
        <f aca="false">IF(F3="","",INDEX('Our target'!$C$56:$C$66,MATCH(F3,'Our target'!$A$56:$A$66,0)))</f>
        <v>309</v>
      </c>
      <c r="H3" s="16" t="n">
        <f aca="false">IF(OR(G3="",D3=""),"",G3/D3-1)</f>
        <v>1.0601373424895</v>
      </c>
    </row>
    <row r="4" customFormat="false" ht="15" hidden="false" customHeight="false" outlineLevel="0" collapsed="false">
      <c r="A4" s="14" t="s">
        <v>36</v>
      </c>
      <c r="B4" s="14" t="n">
        <f aca="false">COUNTIF('Top 50'!$D$2:$D$51,A4)</f>
        <v>4</v>
      </c>
      <c r="C4" s="15" t="n">
        <f aca="false">_xlfn.MINIFS('Top 50'!$H$2:$H$51,'Top 50'!$D$2:$D$51,A4)</f>
        <v>649.99</v>
      </c>
      <c r="D4" s="15" t="n">
        <f aca="false" t="array" ref="D4:D4">MEDIAN(IF(('Top 50'!$D$2:$D$51=A4)*ISNUMBER('Top 50'!$H$2:$H$51),'Top 50'!$H$2:$H$51))</f>
        <v>799.99</v>
      </c>
      <c r="E4" s="15" t="n">
        <f aca="false">_xlfn.MAXIFS('Top 50'!$H$2:$H$51,'Top 50'!$D$2:$D$51,A4)</f>
        <v>1095</v>
      </c>
      <c r="F4" s="14" t="s">
        <v>363</v>
      </c>
      <c r="G4" s="15" t="n">
        <f aca="false">IF(F4="","",INDEX('Our target'!$C$56:$C$66,MATCH(F4,'Our target'!$A$56:$A$66,0)))</f>
        <v>739</v>
      </c>
      <c r="H4" s="16" t="n">
        <f aca="false">IF(OR(G4="",D4=""),"",G4/D4-1)</f>
        <v>-0.0762384529806622</v>
      </c>
    </row>
    <row r="5" customFormat="false" ht="15" hidden="false" customHeight="false" outlineLevel="0" collapsed="false">
      <c r="A5" s="14" t="s">
        <v>51</v>
      </c>
      <c r="B5" s="14" t="n">
        <f aca="false">COUNTIF('Top 50'!$D$2:$D$51,A5)</f>
        <v>6</v>
      </c>
      <c r="C5" s="15" t="n">
        <f aca="false">_xlfn.MINIFS('Top 50'!$H$2:$H$51,'Top 50'!$D$2:$D$51,A5)</f>
        <v>27.98</v>
      </c>
      <c r="D5" s="15" t="n">
        <f aca="false" t="array" ref="D5:D5">MEDIAN(IF(('Top 50'!$D$2:$D$51=A5)*ISNUMBER('Top 50'!$H$2:$H$51),'Top 50'!$H$2:$H$51))</f>
        <v>38.99</v>
      </c>
      <c r="E5" s="15" t="n">
        <f aca="false">_xlfn.MAXIFS('Top 50'!$H$2:$H$51,'Top 50'!$D$2:$D$51,A5)</f>
        <v>69.99</v>
      </c>
      <c r="F5" s="14" t="s">
        <v>365</v>
      </c>
      <c r="G5" s="15" t="n">
        <f aca="false">IF(F5="","",INDEX('Our target'!$C$56:$C$66,MATCH(F5,'Our target'!$A$56:$A$66,0)))</f>
        <v>109</v>
      </c>
      <c r="H5" s="16" t="n">
        <f aca="false">IF(OR(G5="",D5=""),"",G5/D5-1)</f>
        <v>1.79558861246473</v>
      </c>
    </row>
    <row r="6" customFormat="false" ht="15" hidden="false" customHeight="false" outlineLevel="0" collapsed="false">
      <c r="A6" s="14" t="s">
        <v>92</v>
      </c>
      <c r="B6" s="14" t="n">
        <f aca="false">COUNTIF('Top 50'!$D$2:$D$51,A6)</f>
        <v>3</v>
      </c>
      <c r="C6" s="15" t="n">
        <f aca="false">_xlfn.MINIFS('Top 50'!$H$2:$H$51,'Top 50'!$D$2:$D$51,A6)</f>
        <v>479.99</v>
      </c>
      <c r="D6" s="15" t="n">
        <f aca="false" t="array" ref="D6:D6">MEDIAN(IF(('Top 50'!$D$2:$D$51=A6)*ISNUMBER('Top 50'!$H$2:$H$51),'Top 50'!$H$2:$H$51))</f>
        <v>699.99</v>
      </c>
      <c r="E6" s="15" t="n">
        <f aca="false">_xlfn.MAXIFS('Top 50'!$H$2:$H$51,'Top 50'!$D$2:$D$51,A6)</f>
        <v>1499.99</v>
      </c>
      <c r="F6" s="14"/>
      <c r="G6" s="15" t="str">
        <f aca="false">IF(F6="","",INDEX('Our target'!$C$56:$C$66,MATCH(F6,'Our target'!$A$56:$A$66,0)))</f>
        <v/>
      </c>
      <c r="H6" s="16" t="str">
        <f aca="false">IF(OR(G6="",D6=""),"",G6/D6-1)</f>
        <v/>
      </c>
    </row>
    <row r="7" customFormat="false" ht="15" hidden="false" customHeight="false" outlineLevel="0" collapsed="false">
      <c r="A7" s="14" t="s">
        <v>99</v>
      </c>
      <c r="B7" s="14" t="n">
        <f aca="false">COUNTIF('Top 50'!$D$2:$D$51,A7)</f>
        <v>1</v>
      </c>
      <c r="C7" s="15" t="n">
        <f aca="false">_xlfn.MINIFS('Top 50'!$H$2:$H$51,'Top 50'!$D$2:$D$51,A7)</f>
        <v>29.99</v>
      </c>
      <c r="D7" s="15" t="n">
        <f aca="false" t="array" ref="D7:D7">MEDIAN(IF(('Top 50'!$D$2:$D$51=A7)*ISNUMBER('Top 50'!$H$2:$H$51),'Top 50'!$H$2:$H$51))</f>
        <v>29.99</v>
      </c>
      <c r="E7" s="15" t="n">
        <f aca="false">_xlfn.MAXIFS('Top 50'!$H$2:$H$51,'Top 50'!$D$2:$D$51,A7)</f>
        <v>29.99</v>
      </c>
      <c r="F7" s="14"/>
      <c r="G7" s="15" t="str">
        <f aca="false">IF(F7="","",INDEX('Our target'!$C$56:$C$66,MATCH(F7,'Our target'!$A$56:$A$66,0)))</f>
        <v/>
      </c>
      <c r="H7" s="16" t="str">
        <f aca="false">IF(OR(G7="",D7=""),"",G7/D7-1)</f>
        <v/>
      </c>
    </row>
    <row r="8" customFormat="false" ht="15" hidden="false" customHeight="false" outlineLevel="0" collapsed="false">
      <c r="A8" s="14" t="s">
        <v>130</v>
      </c>
      <c r="B8" s="14" t="n">
        <f aca="false">COUNTIF('Top 50'!$D$2:$D$51,A8)</f>
        <v>2</v>
      </c>
      <c r="C8" s="15" t="n">
        <f aca="false">_xlfn.MINIFS('Top 50'!$H$2:$H$51,'Top 50'!$D$2:$D$51,A8)</f>
        <v>89.99</v>
      </c>
      <c r="D8" s="15" t="n">
        <f aca="false" t="array" ref="D8:D8">MEDIAN(IF(('Top 50'!$D$2:$D$51=A8)*ISNUMBER('Top 50'!$H$2:$H$51),'Top 50'!$H$2:$H$51))</f>
        <v>169.99</v>
      </c>
      <c r="E8" s="15" t="n">
        <f aca="false">_xlfn.MAXIFS('Top 50'!$H$2:$H$51,'Top 50'!$D$2:$D$51,A8)</f>
        <v>249.99</v>
      </c>
      <c r="F8" s="14"/>
      <c r="G8" s="15" t="str">
        <f aca="false">IF(F8="","",INDEX('Our target'!$C$56:$C$66,MATCH(F8,'Our target'!$A$56:$A$66,0)))</f>
        <v/>
      </c>
      <c r="H8" s="16" t="str">
        <f aca="false">IF(OR(G8="",D8=""),"",G8/D8-1)</f>
        <v/>
      </c>
    </row>
    <row r="9" customFormat="false" ht="15" hidden="false" customHeight="false" outlineLevel="0" collapsed="false">
      <c r="A9" s="14" t="s">
        <v>149</v>
      </c>
      <c r="B9" s="14" t="n">
        <f aca="false">COUNTIF('Top 50'!$D$2:$D$51,A9)</f>
        <v>7</v>
      </c>
      <c r="C9" s="15" t="n">
        <f aca="false">_xlfn.MINIFS('Top 50'!$H$2:$H$51,'Top 50'!$D$2:$D$51,A9)</f>
        <v>275</v>
      </c>
      <c r="D9" s="15" t="n">
        <f aca="false" t="array" ref="D9:D9">MEDIAN(IF(('Top 50'!$D$2:$D$51=A9)*ISNUMBER('Top 50'!$H$2:$H$51),'Top 50'!$H$2:$H$51))</f>
        <v>395</v>
      </c>
      <c r="E9" s="15" t="n">
        <f aca="false">_xlfn.MAXIFS('Top 50'!$H$2:$H$51,'Top 50'!$D$2:$D$51,A9)</f>
        <v>1399</v>
      </c>
      <c r="F9" s="14" t="s">
        <v>369</v>
      </c>
      <c r="G9" s="15" t="n">
        <f aca="false">IF(F9="","",INDEX('Our target'!$C$56:$C$66,MATCH(F9,'Our target'!$A$56:$A$66,0)))</f>
        <v>599</v>
      </c>
      <c r="H9" s="16" t="n">
        <f aca="false">IF(OR(G9="",D9=""),"",G9/D9-1)</f>
        <v>0.516455696202532</v>
      </c>
    </row>
    <row r="10" customFormat="false" ht="15" hidden="false" customHeight="false" outlineLevel="0" collapsed="false">
      <c r="A10" s="14" t="s">
        <v>168</v>
      </c>
      <c r="B10" s="14" t="n">
        <f aca="false">COUNTIF('Top 50'!$D$2:$D$51,A10)</f>
        <v>2</v>
      </c>
      <c r="C10" s="15" t="n">
        <f aca="false">_xlfn.MINIFS('Top 50'!$H$2:$H$51,'Top 50'!$D$2:$D$51,A10)</f>
        <v>126</v>
      </c>
      <c r="D10" s="15" t="n">
        <f aca="false" t="array" ref="D10:D10">MEDIAN(IF(('Top 50'!$D$2:$D$51=A10)*ISNUMBER('Top 50'!$H$2:$H$51),'Top 50'!$H$2:$H$51))</f>
        <v>130.5</v>
      </c>
      <c r="E10" s="15" t="n">
        <f aca="false">_xlfn.MAXIFS('Top 50'!$H$2:$H$51,'Top 50'!$D$2:$D$51,A10)</f>
        <v>135</v>
      </c>
      <c r="F10" s="14" t="s">
        <v>372</v>
      </c>
      <c r="G10" s="15" t="n">
        <f aca="false">IF(F10="","",INDEX('Our target'!$C$56:$C$66,MATCH(F10,'Our target'!$A$56:$A$66,0)))</f>
        <v>189</v>
      </c>
      <c r="H10" s="16" t="n">
        <f aca="false">IF(OR(G10="",D10=""),"",G10/D10-1)</f>
        <v>0.448275862068966</v>
      </c>
    </row>
    <row r="11" customFormat="false" ht="15" hidden="false" customHeight="false" outlineLevel="0" collapsed="false">
      <c r="A11" s="14" t="s">
        <v>175</v>
      </c>
      <c r="B11" s="14" t="n">
        <f aca="false">COUNTIF('Top 50'!$D$2:$D$51,A11)</f>
        <v>3</v>
      </c>
      <c r="C11" s="15" t="n">
        <f aca="false">_xlfn.MINIFS('Top 50'!$H$2:$H$51,'Top 50'!$D$2:$D$51,A11)</f>
        <v>60</v>
      </c>
      <c r="D11" s="15" t="n">
        <f aca="false" t="array" ref="D11:D11">MEDIAN(IF(('Top 50'!$D$2:$D$51=A11)*ISNUMBER('Top 50'!$H$2:$H$51),'Top 50'!$H$2:$H$51))</f>
        <v>80</v>
      </c>
      <c r="E11" s="15" t="n">
        <f aca="false">_xlfn.MAXIFS('Top 50'!$H$2:$H$51,'Top 50'!$D$2:$D$51,A11)</f>
        <v>160</v>
      </c>
      <c r="F11" s="14" t="s">
        <v>373</v>
      </c>
      <c r="G11" s="15" t="n">
        <f aca="false">IF(F11="","",INDEX('Our target'!$C$56:$C$66,MATCH(F11,'Our target'!$A$56:$A$66,0)))</f>
        <v>219</v>
      </c>
      <c r="H11" s="16" t="n">
        <f aca="false">IF(OR(G11="",D11=""),"",G11/D11-1)</f>
        <v>1.7375</v>
      </c>
    </row>
    <row r="12" customFormat="false" ht="15" hidden="false" customHeight="false" outlineLevel="0" collapsed="false">
      <c r="A12" s="14" t="s">
        <v>183</v>
      </c>
      <c r="B12" s="14" t="n">
        <f aca="false">COUNTIF('Top 50'!$D$2:$D$51,A12)</f>
        <v>5</v>
      </c>
      <c r="C12" s="15" t="n">
        <f aca="false">_xlfn.MINIFS('Top 50'!$H$2:$H$51,'Top 50'!$D$2:$D$51,A12)</f>
        <v>103.95</v>
      </c>
      <c r="D12" s="15" t="n">
        <f aca="false" t="array" ref="D12:D12">MEDIAN(IF(('Top 50'!$D$2:$D$51=A12)*ISNUMBER('Top 50'!$H$2:$H$51),'Top 50'!$H$2:$H$51))</f>
        <v>499.99</v>
      </c>
      <c r="E12" s="15" t="n">
        <f aca="false">_xlfn.MAXIFS('Top 50'!$H$2:$H$51,'Top 50'!$D$2:$D$51,A12)</f>
        <v>1171.99</v>
      </c>
      <c r="F12" s="14" t="s">
        <v>375</v>
      </c>
      <c r="G12" s="15" t="n">
        <f aca="false">IF(F12="","",INDEX('Our target'!$C$56:$C$66,MATCH(F12,'Our target'!$A$56:$A$66,0)))</f>
        <v>279</v>
      </c>
      <c r="H12" s="16" t="n">
        <f aca="false">IF(OR(G12="",D12=""),"",G12/D12-1)</f>
        <v>-0.441988839776796</v>
      </c>
    </row>
    <row r="13" customFormat="false" ht="15" hidden="false" customHeight="false" outlineLevel="0" collapsed="false">
      <c r="A13" s="14" t="s">
        <v>209</v>
      </c>
      <c r="B13" s="14" t="n">
        <f aca="false">COUNTIF('Top 50'!$D$2:$D$51,A13)</f>
        <v>5</v>
      </c>
      <c r="C13" s="15" t="n">
        <f aca="false">_xlfn.MINIFS('Top 50'!$H$2:$H$51,'Top 50'!$D$2:$D$51,A13)</f>
        <v>299.99</v>
      </c>
      <c r="D13" s="15" t="n">
        <f aca="false" t="array" ref="D13:D13">MEDIAN(IF(('Top 50'!$D$2:$D$51=A13)*ISNUMBER('Top 50'!$H$2:$H$51),'Top 50'!$H$2:$H$51))</f>
        <v>789.25</v>
      </c>
      <c r="E13" s="15" t="n">
        <f aca="false">_xlfn.MAXIFS('Top 50'!$H$2:$H$51,'Top 50'!$D$2:$D$51,A13)</f>
        <v>824</v>
      </c>
      <c r="F13" s="14" t="s">
        <v>377</v>
      </c>
      <c r="G13" s="15" t="n">
        <f aca="false">IF(F13="","",INDEX('Our target'!$C$56:$C$66,MATCH(F13,'Our target'!$A$56:$A$66,0)))</f>
        <v>459</v>
      </c>
      <c r="H13" s="16" t="n">
        <f aca="false">IF(OR(G13="",D13=""),"",G13/D13-1)</f>
        <v>-0.418435223313272</v>
      </c>
    </row>
    <row r="14" customFormat="false" ht="15" hidden="false" customHeight="false" outlineLevel="0" collapsed="false">
      <c r="A14" s="14" t="s">
        <v>222</v>
      </c>
      <c r="B14" s="14" t="n">
        <f aca="false">COUNTIF('Top 50'!$D$2:$D$51,A14)</f>
        <v>4</v>
      </c>
      <c r="C14" s="15" t="n">
        <f aca="false">_xlfn.MINIFS('Top 50'!$H$2:$H$51,'Top 50'!$D$2:$D$51,A14)</f>
        <v>279.99</v>
      </c>
      <c r="D14" s="15" t="n">
        <f aca="false" t="array" ref="D14:D14">MEDIAN(IF(('Top 50'!$D$2:$D$51=A14)*ISNUMBER('Top 50'!$H$2:$H$51),'Top 50'!$H$2:$H$51))</f>
        <v>364.99</v>
      </c>
      <c r="E14" s="15" t="n">
        <f aca="false">_xlfn.MAXIFS('Top 50'!$H$2:$H$51,'Top 50'!$D$2:$D$51,A14)</f>
        <v>947</v>
      </c>
      <c r="F14" s="14" t="s">
        <v>379</v>
      </c>
      <c r="G14" s="15" t="n">
        <f aca="false">IF(F14="","",INDEX('Our target'!$C$56:$C$66,MATCH(F14,'Our target'!$A$56:$A$66,0)))</f>
        <v>369</v>
      </c>
      <c r="H14" s="16" t="n">
        <f aca="false">IF(OR(G14="",D14=""),"",G14/D14-1)</f>
        <v>0.0109866023726677</v>
      </c>
    </row>
    <row r="15" customFormat="false" ht="15" hidden="false" customHeight="false" outlineLevel="0" collapsed="false">
      <c r="A15" s="17" t="s">
        <v>405</v>
      </c>
      <c r="B15" s="17" t="n">
        <f aca="false">SUM(B2:B14)</f>
        <v>50</v>
      </c>
      <c r="C15" s="18" t="n">
        <f aca="false">MIN('Top 50'!$H$2:$H$51)</f>
        <v>27.98</v>
      </c>
      <c r="D15" s="18" t="n">
        <f aca="false">MEDIAN('Top 50'!$H$2:$H$51)</f>
        <v>339.995</v>
      </c>
      <c r="E15" s="18" t="n">
        <f aca="false">MAX('Top 50'!$H$2:$H$51)</f>
        <v>1499.99</v>
      </c>
    </row>
    <row r="17" customFormat="false" ht="15" hidden="false" customHeight="false" outlineLevel="0" collapsed="false">
      <c r="A17" s="10" t="s">
        <v>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15" hidden="false" customHeight="false" outlineLevel="0" collapsed="false">
      <c r="A1" s="19" t="s">
        <v>407</v>
      </c>
      <c r="B1" s="19" t="s">
        <v>408</v>
      </c>
    </row>
    <row r="2" customFormat="false" ht="23.85" hidden="false" customHeight="false" outlineLevel="0" collapsed="false">
      <c r="A2" s="20" t="s">
        <v>409</v>
      </c>
      <c r="B2" s="21" t="s">
        <v>410</v>
      </c>
    </row>
    <row r="3" customFormat="false" ht="46.25" hidden="false" customHeight="false" outlineLevel="0" collapsed="false">
      <c r="A3" s="20" t="s">
        <v>411</v>
      </c>
      <c r="B3" s="21" t="s">
        <v>412</v>
      </c>
    </row>
    <row r="4" customFormat="false" ht="46.25" hidden="false" customHeight="false" outlineLevel="0" collapsed="false">
      <c r="A4" s="20" t="s">
        <v>413</v>
      </c>
      <c r="B4" s="21" t="s">
        <v>414</v>
      </c>
    </row>
    <row r="5" customFormat="false" ht="79.85" hidden="false" customHeight="false" outlineLevel="0" collapsed="false">
      <c r="A5" s="20" t="s">
        <v>415</v>
      </c>
      <c r="B5" s="21" t="s">
        <v>416</v>
      </c>
    </row>
    <row r="6" customFormat="false" ht="46.25" hidden="false" customHeight="false" outlineLevel="0" collapsed="false">
      <c r="A6" s="20" t="s">
        <v>417</v>
      </c>
      <c r="B6" s="21" t="s">
        <v>418</v>
      </c>
    </row>
    <row r="7" customFormat="false" ht="23.85" hidden="false" customHeight="false" outlineLevel="0" collapsed="false">
      <c r="A7" s="20" t="s">
        <v>419</v>
      </c>
      <c r="B7" s="21" t="s">
        <v>420</v>
      </c>
    </row>
    <row r="8" customFormat="false" ht="57.45" hidden="false" customHeight="false" outlineLevel="0" collapsed="false">
      <c r="A8" s="20" t="s">
        <v>421</v>
      </c>
      <c r="B8" s="21" t="s">
        <v>422</v>
      </c>
    </row>
    <row r="9" customFormat="false" ht="57.45" hidden="false" customHeight="false" outlineLevel="0" collapsed="false">
      <c r="A9" s="20" t="s">
        <v>423</v>
      </c>
      <c r="B9" s="21" t="s">
        <v>424</v>
      </c>
    </row>
    <row r="10" customFormat="false" ht="35.05" hidden="false" customHeight="false" outlineLevel="0" collapsed="false">
      <c r="A10" s="20" t="s">
        <v>425</v>
      </c>
      <c r="B10" s="21" t="s">
        <v>426</v>
      </c>
    </row>
    <row r="11" customFormat="false" ht="35.05" hidden="false" customHeight="false" outlineLevel="0" collapsed="false">
      <c r="A11" s="20" t="s">
        <v>427</v>
      </c>
      <c r="B11" s="21" t="s">
        <v>428</v>
      </c>
    </row>
    <row r="12" customFormat="false" ht="23.85" hidden="false" customHeight="false" outlineLevel="0" collapsed="false">
      <c r="A12" s="20" t="s">
        <v>429</v>
      </c>
      <c r="B12" s="21" t="s">
        <v>430</v>
      </c>
    </row>
    <row r="13" customFormat="false" ht="57.45" hidden="false" customHeight="false" outlineLevel="0" collapsed="false">
      <c r="A13" s="20" t="s">
        <v>431</v>
      </c>
      <c r="B13" s="21" t="s">
        <v>432</v>
      </c>
    </row>
    <row r="14" customFormat="false" ht="35.05" hidden="false" customHeight="false" outlineLevel="0" collapsed="false">
      <c r="A14" s="20" t="s">
        <v>433</v>
      </c>
      <c r="B14" s="21" t="s">
        <v>434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2026-09-25T09:49:04Z</dcterms:created>
  <dc:creator>openpyxl</dc:creator>
  <dc:description/>
  <dc:language>en-US</dc:language>
  <cp:lastModifiedBy/>
  <dcterms:modified xsi:type="dcterms:W3CDTF">2026-09-25T09:49:04Z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