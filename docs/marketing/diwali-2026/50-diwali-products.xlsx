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0 Products" sheetId="1" state="visible" r:id="rId3"/>
    <sheet name="Hero Picks" sheetId="2" state="visible" r:id="rId4"/>
    <sheet name="Category Summary" sheetId="3" state="visible" r:id="rId5"/>
    <sheet name="Method &amp; Caveats" sheetId="4" state="visible" r:id="rId6"/>
  </sheets>
  <definedNames>
    <definedName function="false" hidden="true" localSheetId="0" name="_xlnm._FilterDatabase" vbProcedure="false">'50 Products'!$A$1:$L$51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<sst xmlns="http://schemas.openxmlformats.org/spreadsheetml/2006/main" count="569" uniqueCount="357">
  <si>
    <t xml:space="preserve">Rank/Priority</t>
  </si>
  <si>
    <t xml:space="preserve">Product name</t>
  </si>
  <si>
    <t xml:space="preserve">Category</t>
  </si>
  <si>
    <t xml:space="preserve">Diwali relevance</t>
  </si>
  <si>
    <t xml:space="preserve">Uniqueness angle</t>
  </si>
  <si>
    <t xml:space="preserve">Price band INR</t>
  </si>
  <si>
    <t xml:space="preserve">Source status</t>
  </si>
  <si>
    <t xml:space="preserve">Lead time class</t>
  </si>
  <si>
    <t xml:space="preserve">Sellability signal + source</t>
  </si>
  <si>
    <t xml:space="preserve">Notes</t>
  </si>
  <si>
    <t xml:space="preserve">Price Min INR</t>
  </si>
  <si>
    <t xml:space="preserve">Price Max INR</t>
  </si>
  <si>
    <t xml:space="preserve">Carved Solid Sheesham Mandir / Temple Unit (2.5 ft)</t>
  </si>
  <si>
    <t xml:space="preserve">Mandir &amp; Pooja Accessories</t>
  </si>
  <si>
    <t xml:space="preserve">Pooja-room centrepiece bought for Diwali/housewarming</t>
  </si>
  <si>
    <t xml:space="preserve">Solid carved wood vs mass engineered/laminate mandirs (Flipkart median ~INR 494, ESTIMATE)</t>
  </si>
  <si>
    <t xml:space="preserve">14,999-16,999</t>
  </si>
  <si>
    <t xml:space="preserve">stretch</t>
  </si>
  <si>
    <t xml:space="preserve">intricate</t>
  </si>
  <si>
    <t xml:space="preserve">Woodsala sells carved mandirs at INR 21,899 median (VERIFIED, India price benchmark Sec 3.1) - proven demand tier, zero live SKUs today</t>
  </si>
  <si>
    <t xml:space="preserve">Equivalent to S1 in superseded India starter-catalogue plan (spec reusable). URGENT: start carving decision needed by ~9-10 Oct, see markdown Sec 4</t>
  </si>
  <si>
    <t xml:space="preserve">Hand-Carved Jharokha Mirror</t>
  </si>
  <si>
    <t xml:space="preserve">Wall Art, Mirrors &amp; Frames</t>
  </si>
  <si>
    <t xml:space="preserve">Festival housewarming/entryway decor</t>
  </si>
  <si>
    <t xml:space="preserve">Rajasthani jharokha framing already Best Seller/Trending in the seed</t>
  </si>
  <si>
    <t xml:space="preserve">11,900</t>
  </si>
  <si>
    <t xml:space="preserve">catalogue</t>
  </si>
  <si>
    <t xml:space="preserve">standard</t>
  </si>
  <si>
    <t xml:space="preserve">Seed flags: Handmade, Best Seller, featured/best/trending</t>
  </si>
  <si>
    <t xml:space="preserve">slug hand-carved-jharokha-mirror, SKU WV-WAL-001; HERO pick #2</t>
  </si>
  <si>
    <t xml:space="preserve">Jaali Carved Wall Panel</t>
  </si>
  <si>
    <t xml:space="preserve">Photogenic statement wall piece, also usable as room divider</t>
  </si>
  <si>
    <t xml:space="preserve">Highest-margin item in the whole unit-economics model (24.5% after CAC)</t>
  </si>
  <si>
    <t xml:space="preserve">10,400</t>
  </si>
  <si>
    <t xml:space="preserve">unit-economics-model.md Sec 4 table B/C</t>
  </si>
  <si>
    <t xml:space="preserve">slug jaali-carved-wall-panel, SKU WV-WAL-002; HERO pick #3</t>
  </si>
  <si>
    <t xml:space="preserve">Lacquered Lakshmi Figure (companion to item 21)</t>
  </si>
  <si>
    <t xml:space="preserve">Figurines &amp; Idols (gifting)</t>
  </si>
  <si>
    <t xml:space="preserve">Completes the Lakshmi-Ganesha pair, the most-named Diwali idol gift</t>
  </si>
  <si>
    <t xml:space="preserve">Identical bow-lathe + friction-lacquer process; closes a named, searched pairing gap</t>
  </si>
  <si>
    <t xml:space="preserve">4,790-5,200 solo; ~9,000-9,900 as a pair</t>
  </si>
  <si>
    <t xml:space="preserve">new SKU</t>
  </si>
  <si>
    <t xml:space="preserve">ESTIMATE - 'Laxmi-Ganesh idols thought to bring abundance' named as top Diwali gift (The Week, 13 Oct 2025)</t>
  </si>
  <si>
    <t xml:space="preserve">Genuinely new; HERO pick #4 (as pair with item 21)</t>
  </si>
  <si>
    <t xml:space="preserve">Hoshiarpur Inlay Serving Tray</t>
  </si>
  <si>
    <t xml:space="preserve">Serving Ware, Trays &amp; Coasters</t>
  </si>
  <si>
    <t xml:space="preserve">Premium personal/corporate gifting tray</t>
  </si>
  <si>
    <t xml:space="preserve">Brass-inlay border differentiates vs plain acacia trays everywhere</t>
  </si>
  <si>
    <t xml:space="preserve">5,290</t>
  </si>
  <si>
    <t xml:space="preserve">Seed flags: Handmade, featured</t>
  </si>
  <si>
    <t xml:space="preserve">slug hoshiarpur-inlay-serving-tray, SKU WV-SRV-003; HERO pick #5</t>
  </si>
  <si>
    <t xml:space="preserve">Hand-Carved Sheesham Door Toran with Brass Bells</t>
  </si>
  <si>
    <t xml:space="preserve">Torans &amp; Door Decor</t>
  </si>
  <si>
    <t xml:space="preserve">Torans are THE top-cited Diwali purchase; ritual replacement every year</t>
  </si>
  <si>
    <t xml:space="preserve">Carved wood + real bells vs ubiquitous fabric/marigold/plastic torans</t>
  </si>
  <si>
    <t xml:space="preserve">1,499-1,999</t>
  </si>
  <si>
    <t xml:space="preserve">VERIFIED-signal / ESTIMATE-detail - "Torans are at the forefront of Diwali purchases" (Shiprocket, 'best selling products on Diwali', accessed 2026-10-06)</t>
  </si>
  <si>
    <t xml:space="preserve">Genuinely new; zero-SKU gap; HERO pick #6</t>
  </si>
  <si>
    <t xml:space="preserve">Diwali Hamper - Premium (Inlay Tray + Lakshmi-Ganesha Pair + Mithai Box)</t>
  </si>
  <si>
    <t xml:space="preserve">Corporate &amp; Personal Gift Hampers</t>
  </si>
  <si>
    <t xml:space="preserve">Premium personal/corporate tier research flags as the growing segment</t>
  </si>
  <si>
    <t xml:space="preserve">Combines three differentiated craft lines into one gift-box narrative</t>
  </si>
  <si>
    <t xml:space="preserve">7,999-9,999</t>
  </si>
  <si>
    <t xml:space="preserve">ESTIMATE - 'premium, memorable solutions, average spend rising' (vantagecircle.com, corporate Diwali gifts 2025)</t>
  </si>
  <si>
    <t xml:space="preserve">Genuinely new combo (components: items 26+21+22+34); HERO pick #7; decision 0037 combo engine</t>
  </si>
  <si>
    <t xml:space="preserve">Carved Wooden Elephant Pair</t>
  </si>
  <si>
    <t xml:space="preserve">Good-luck prosperity gifting maps directly onto Diwali</t>
  </si>
  <si>
    <t xml:space="preserve">Already Best Seller + Trending; 'good luck' framing in seed copy</t>
  </si>
  <si>
    <t xml:space="preserve">5,590</t>
  </si>
  <si>
    <t xml:space="preserve">Seed flags: Handmade, Best Seller, best/trending</t>
  </si>
  <si>
    <t xml:space="preserve">slug carved-wooden-elephant-pair, SKU WV-FIG-002; HERO pick #8</t>
  </si>
  <si>
    <t xml:space="preserve">Jaali Tealight Lantern, hanging sheesham</t>
  </si>
  <si>
    <t xml:space="preserve">Diyas &amp; Candle Holders (wood-based)</t>
  </si>
  <si>
    <t xml:space="preserve">Wood-housed answer to the craft/customisation diya trend</t>
  </si>
  <si>
    <t xml:space="preserve">Hand-pierced jaali shadow pattern vs simpler turned-shape diya stands (Pepperfry, ESTIMATE)</t>
  </si>
  <si>
    <t xml:space="preserve">899-1,299</t>
  </si>
  <si>
    <t xml:space="preserve">ESTIMATE - Pepperfry festive-decor category sells a simpler 'wooden Om shadow tea light diya stand' (accessed 2026-10-06)</t>
  </si>
  <si>
    <t xml:space="preserve">Genuinely new; HERO pick #9</t>
  </si>
  <si>
    <t xml:space="preserve">Hoshiarpur Inlay Chess Set</t>
  </si>
  <si>
    <t xml:space="preserve">Kids &amp; Toy Gifting</t>
  </si>
  <si>
    <t xml:space="preserve">Family-gathering gift for the Diwali long weekend</t>
  </si>
  <si>
    <t xml:space="preserve">Brass-inlaid border, turned Staunton pieces stored in hollow case</t>
  </si>
  <si>
    <t xml:space="preserve">7,290</t>
  </si>
  <si>
    <t xml:space="preserve">slug hoshiarpur-inlay-chess-set, SKU WV-TOY-003; HERO pick #10</t>
  </si>
  <si>
    <t xml:space="preserve">Sheesham Bajot / Chowki (Pooja-Idol Platform Stool)</t>
  </si>
  <si>
    <t xml:space="preserve">Low wooden platform for idol/thali during Lakshmi puja</t>
  </si>
  <si>
    <t xml:space="preserve">Distinct from existing seating mudha - true pooja furniture, zero seed coverage</t>
  </si>
  <si>
    <t xml:space="preserve">1,999-2,999</t>
  </si>
  <si>
    <t xml:space="preserve">ASSUMPTION - pooja-corner buyers named as a segment (positioning-and-usp.md Sec 9.2)</t>
  </si>
  <si>
    <t xml:space="preserve">Genuinely new (not in starter-catalogue list)</t>
  </si>
  <si>
    <t xml:space="preserve">Panch-Diya Wooden Aarti Stand (5-cup brass + turned sheesham)</t>
  </si>
  <si>
    <t xml:space="preserve">Daily aarti/diya stand used through the 5 days of Diwali</t>
  </si>
  <si>
    <t xml:space="preserve">Wood-housed reusable brass-cup design vs disposable clay diyas</t>
  </si>
  <si>
    <t xml:space="preserve">ESTIMATE - "diyas are the heart of Diwali, trend is craft &amp; customisation" (radhakrishnatemple.net, 2025, accessed 2026-10-06)</t>
  </si>
  <si>
    <t xml:space="preserve">Genuinely new</t>
  </si>
  <si>
    <t xml:space="preserve">Wall-Mount Wooden Pooja Shelf / Mini Mandir Corner</t>
  </si>
  <si>
    <t xml:space="preserve">Compact pooja-corner solution for small flats</t>
  </si>
  <si>
    <t xml:space="preserve">No compact wall-mount pooja option exists in the seed catalogue</t>
  </si>
  <si>
    <t xml:space="preserve">2,499-3,499</t>
  </si>
  <si>
    <t xml:space="preserve">ASSUMPTION - complements first-time flat-owner segment (positioning-and-usp.md Sec 9.2); not independently search-verified</t>
  </si>
  <si>
    <t xml:space="preserve">Kutch Lacquer Kumkum-Haldi Box (Set)</t>
  </si>
  <si>
    <t xml:space="preserve">Kumkum/haldi/akshat used in every Lakshmi puja, gifted with sweets</t>
  </si>
  <si>
    <t xml:space="preserve">Reuses existing Kutch lacquer craft (Ravji) in a new Diwali-specific form</t>
  </si>
  <si>
    <t xml:space="preserve">ASSUMPTION - logical line extension of catalogue Kutch Lacquer Spice Box craft</t>
  </si>
  <si>
    <t xml:space="preserve">Sheesham Mini Temple Bell (Ghanti) Stand</t>
  </si>
  <si>
    <t xml:space="preserve">Bell rung at aarti; budget gifting entry point</t>
  </si>
  <si>
    <t xml:space="preserve">Wood-stand bell vs plain brass-only bells sold with no stand</t>
  </si>
  <si>
    <t xml:space="preserve">399-599</t>
  </si>
  <si>
    <t xml:space="preserve">quick</t>
  </si>
  <si>
    <t xml:space="preserve">ASSUMPTION - budget-tier filler, not independently verified</t>
  </si>
  <si>
    <t xml:space="preserve">Turned Wood Pillar Candle Stand (Set of 2, brass accent)</t>
  </si>
  <si>
    <t xml:space="preserve">Festive table/mantel styling through Diwali week</t>
  </si>
  <si>
    <t xml:space="preserve">Turned wood + brass accent vs glass/metal pillar holders dominating listings</t>
  </si>
  <si>
    <t xml:space="preserve">999-1,499</t>
  </si>
  <si>
    <t xml:space="preserve">ASSUMPTION</t>
  </si>
  <si>
    <t xml:space="preserve">Mango Wood Diya Tray with 9 Brass Diya Cups</t>
  </si>
  <si>
    <t xml:space="preserve">Reusable higher-ticket alternative to disposable clay diyas</t>
  </si>
  <si>
    <t xml:space="preserve">Tray-plus-cups reusable format vs loose clay diyas sold by the dozen</t>
  </si>
  <si>
    <t xml:space="preserve">1,799-2,499</t>
  </si>
  <si>
    <t xml:space="preserve">ESTIMATE - eco-friendly/reusable Diwali essentials flagged as a 2025 trend (radhakrishnatemple.net, accessed 2026-10-06)</t>
  </si>
  <si>
    <t xml:space="preserve">Carved Wooden Diya Stand Tower (3-tier, mandala motif)</t>
  </si>
  <si>
    <t xml:space="preserve">Statement centrepiece for balcony/entrance diya displays</t>
  </si>
  <si>
    <t xml:space="preserve">Tiered wood sculpture vs single-level diya trays sold as mass decor</t>
  </si>
  <si>
    <t xml:space="preserve">2,299-2,999</t>
  </si>
  <si>
    <t xml:space="preserve">Jaali Wood Door Toran Panel (horizontal strip + tassels)</t>
  </si>
  <si>
    <t xml:space="preserve">Same occasion as item 11, lighter alternative for narrow doorframes</t>
  </si>
  <si>
    <t xml:space="preserve">Pierced-wood strip silhouette, distinct from the carved-bell toran</t>
  </si>
  <si>
    <t xml:space="preserve">1,299-1,799</t>
  </si>
  <si>
    <t xml:space="preserve">Same signal as item 11 (Shiprocket, accessed 2026-10-06)</t>
  </si>
  <si>
    <t xml:space="preserve">Mango Wood 'Shubh Labh' Hanging Plaque</t>
  </si>
  <si>
    <t xml:space="preserve">Standard Diwali door/shop greeting motif</t>
  </si>
  <si>
    <t xml:space="preserve">Hand-carved wood vs printed/acrylic versions dominating online listings</t>
  </si>
  <si>
    <t xml:space="preserve">599-899</t>
  </si>
  <si>
    <t xml:space="preserve">Genuinely new; budget door-decor entry point</t>
  </si>
  <si>
    <t xml:space="preserve">Carved Wood Ganesha Door Hanging</t>
  </si>
  <si>
    <t xml:space="preserve">Threshold welcome motif for Diwali</t>
  </si>
  <si>
    <t xml:space="preserve">Carved relief vs painted terracotta/resin versions sold everywhere</t>
  </si>
  <si>
    <t xml:space="preserve">799-1,199</t>
  </si>
  <si>
    <t xml:space="preserve">Hand-Carved Krishna Panel</t>
  </si>
  <si>
    <t xml:space="preserve">Puja-room/reading-nook relevance</t>
  </si>
  <si>
    <t xml:space="preserve">Deep-relief single-figure carving inside a scalloped temple arch</t>
  </si>
  <si>
    <t xml:space="preserve">10,490</t>
  </si>
  <si>
    <t xml:space="preserve">Seed flags: featured, isNew</t>
  </si>
  <si>
    <t xml:space="preserve">slug hand-carved-krishna-panel, SKU WV-WAL-005</t>
  </si>
  <si>
    <t xml:space="preserve">Carved Sun Mandala Wall Art</t>
  </si>
  <si>
    <t xml:space="preserve">Photogenic statement piece with flexible price points</t>
  </si>
  <si>
    <t xml:space="preserve">Radiating carved mandala, existing size variants give 3 price points</t>
  </si>
  <si>
    <t xml:space="preserve">4,690-10,290</t>
  </si>
  <si>
    <t xml:space="preserve">Seed flags trending</t>
  </si>
  <si>
    <t xml:space="preserve">slug carved-sun-mandala-wall-art, SKU WV-WAL-004, sizes O45/O60/O90</t>
  </si>
  <si>
    <t xml:space="preserve">Sawantwadi Hand-Painted Wall Plates (Set of 3)</t>
  </si>
  <si>
    <t xml:space="preserve">Bright festive palette reads directly as Diwali colour</t>
  </si>
  <si>
    <t xml:space="preserve">Hand-painted Sawantwadi royal-household craft tradition</t>
  </si>
  <si>
    <t xml:space="preserve">5,490</t>
  </si>
  <si>
    <t xml:space="preserve">Seed flags: Hand-painted, Set of 3, isNew</t>
  </si>
  <si>
    <t xml:space="preserve">slug sawantwadi-hand-painted-wall-plates-set-of-3, SKU WV-WAL-003</t>
  </si>
  <si>
    <t xml:space="preserve">Sheesham Jaali Photo Frame (Set of 2)</t>
  </si>
  <si>
    <t xml:space="preserve">Family-photo gifting is a Diwali/housewarming staple</t>
  </si>
  <si>
    <t xml:space="preserve">Pierced jaali border vs plain wood/plastic frames sold everywhere; zero frame SKUs in seed</t>
  </si>
  <si>
    <t xml:space="preserve">699-1,299</t>
  </si>
  <si>
    <t xml:space="preserve">ESTIMATE - 'personalised home decor' named as a 2026 Diwali gifting theme (azafashions.com, accessed 2026-10-06)</t>
  </si>
  <si>
    <t xml:space="preserve">Genuinely new; zero-SKU gap</t>
  </si>
  <si>
    <t xml:space="preserve">Lacquered Ganesha Figure</t>
  </si>
  <si>
    <t xml:space="preserve">Housewarming/Diwali prosperity gift</t>
  </si>
  <si>
    <t xml:space="preserve">Already positioned as 'housewarming gift with heart' in the seed copy</t>
  </si>
  <si>
    <t xml:space="preserve">4,790</t>
  </si>
  <si>
    <t xml:space="preserve">Seed flags: Gift, isNew</t>
  </si>
  <si>
    <t xml:space="preserve">slug lacquered-ganesha-figure, SKU WV-FIG-004; pairs with item 22 for HERO pick #4</t>
  </si>
  <si>
    <t xml:space="preserve">Kondapalli Dashavatara Set</t>
  </si>
  <si>
    <t xml:space="preserve">Religious gift set, Vishnu avatars</t>
  </si>
  <si>
    <t xml:space="preserve">GI-craft badge already present (400-year Kondapalli tradition)</t>
  </si>
  <si>
    <t xml:space="preserve">7,190</t>
  </si>
  <si>
    <t xml:space="preserve">Seed flags: GI Craft, featured</t>
  </si>
  <si>
    <t xml:space="preserve">slug kondapalli-dashavatara-set, SKU WV-FIG-001</t>
  </si>
  <si>
    <t xml:space="preserve">Sheesham Horse Sculpture</t>
  </si>
  <si>
    <t xml:space="preserve">Re-merchandise as a 'prosperity/new-beginnings' desk gift for Diwali corporate recipients</t>
  </si>
  <si>
    <t xml:space="preserve">Stylised standing horse following the grain of the block</t>
  </si>
  <si>
    <t xml:space="preserve">7,900</t>
  </si>
  <si>
    <t xml:space="preserve">ASSUMPTION - generic desk-decor framing in seed, Diwali angle is new copy only</t>
  </si>
  <si>
    <t xml:space="preserve">slug sheesham-horse-sculpture, SKU WV-FIG-003</t>
  </si>
  <si>
    <t xml:space="preserve">Acacia Serving Tray with Handles</t>
  </si>
  <si>
    <t xml:space="preserve">Festive tea/mithai service tray</t>
  </si>
  <si>
    <t xml:space="preserve">Carved handle cut-outs; already Best Seller + Trending</t>
  </si>
  <si>
    <t xml:space="preserve">2,590</t>
  </si>
  <si>
    <t xml:space="preserve">Seed flags: Food-safe, best/trending</t>
  </si>
  <si>
    <t xml:space="preserve">slug acacia-serving-tray-with-handles, SKU WV-SRV-001</t>
  </si>
  <si>
    <t xml:space="preserve">Mango Wood Serving Bowls (Set of 3)</t>
  </si>
  <si>
    <t xml:space="preserve">Namkeen/mithai nesting bowls for guest entertaining</t>
  </si>
  <si>
    <t xml:space="preserve">Natural grain variation makes each set one of a kind</t>
  </si>
  <si>
    <t xml:space="preserve">2,990</t>
  </si>
  <si>
    <t xml:space="preserve">Seed flags: Set of 3, Food-safe</t>
  </si>
  <si>
    <t xml:space="preserve">slug mango-wood-serving-bowls-set-of-3, SKU WV-SRV-002</t>
  </si>
  <si>
    <t xml:space="preserve">Sheesham &amp; Brass Inlay Coaster Set (Set of 6)</t>
  </si>
  <si>
    <t xml:space="preserve">True budget-gifting entry point; natural combo component</t>
  </si>
  <si>
    <t xml:space="preserve">Brass inlay vs plain-wood/cork coasters dominating this price tier</t>
  </si>
  <si>
    <t xml:space="preserve">499-799</t>
  </si>
  <si>
    <t xml:space="preserve">Caution (unit-economics-model.md): small kitchen-wood items thin-to-negative margin standalone - sell via combos, not cold-traffic ads</t>
  </si>
  <si>
    <t xml:space="preserve">Mini Wooden Coaster + Keychain Ganesha Combo</t>
  </si>
  <si>
    <t xml:space="preserve">The explicit INR 299 budget-gifting floor; bulk corporate thank-you tier</t>
  </si>
  <si>
    <t xml:space="preserve">Hits a genuine sub-INR 350 price point without going into mass clay/plastic</t>
  </si>
  <si>
    <t xml:space="preserve">299-349</t>
  </si>
  <si>
    <t xml:space="preserve">Caution: same thin-margin flag as item 29 - bulk-volume or bundled only</t>
  </si>
  <si>
    <t xml:space="preserve">Genuinely new combo of two small turned pieces</t>
  </si>
  <si>
    <t xml:space="preserve">Acacia Round Chopping Board</t>
  </si>
  <si>
    <t xml:space="preserve">Festive kitchen/housewarming gift</t>
  </si>
  <si>
    <t xml:space="preserve">Round board with juice groove, thick and gentle on knives</t>
  </si>
  <si>
    <t xml:space="preserve">1,390-2,390</t>
  </si>
  <si>
    <t xml:space="preserve">Seed flags: Food-safe, Best Seller</t>
  </si>
  <si>
    <t xml:space="preserve">slug acacia-round-chopping-board, SKU WV-CUT-001, sizes O25/O32/O40</t>
  </si>
  <si>
    <t xml:space="preserve">Kutch Lacquer Spice Box</t>
  </si>
  <si>
    <t xml:space="preserve">Sweet / Dry-Fruit &amp; Spice Boxes</t>
  </si>
  <si>
    <t xml:space="preserve">Bright festive lacquer colours read as Diwali-appropriate</t>
  </si>
  <si>
    <t xml:space="preserve">Hand-turned, friction-lacquered bands (vermilion/saffron/indigo); zero rework needed</t>
  </si>
  <si>
    <t xml:space="preserve">3,590</t>
  </si>
  <si>
    <t xml:space="preserve">Seed flags: Handmade, isNew, featured</t>
  </si>
  <si>
    <t xml:space="preserve">slug kutch-lacquer-spice-box, SKU WV-SPC-002</t>
  </si>
  <si>
    <t xml:space="preserve">Sheesham Masala Dabba</t>
  </si>
  <si>
    <t xml:space="preserve">Kitchen-gifting staple</t>
  </si>
  <si>
    <t xml:space="preserve">Already Best Seller flagged</t>
  </si>
  <si>
    <t xml:space="preserve">2,690</t>
  </si>
  <si>
    <t xml:space="preserve">Seed flags: Best Seller</t>
  </si>
  <si>
    <t xml:space="preserve">slug sheesham-masala-dabba, SKU WV-SPC-001</t>
  </si>
  <si>
    <t xml:space="preserve">Sheesham &amp; Brass Inlay Dry-Fruit / Mithai Box (compartmentalised)</t>
  </si>
  <si>
    <t xml:space="preserve">Premium answer to the shift away from plain dry-fruit boxes</t>
  </si>
  <si>
    <t xml:space="preserve">Reusable wood with brass inlay vs one-use cardboard/foil hamper boxes</t>
  </si>
  <si>
    <t xml:space="preserve">ESTIMATE - 'trend is moving away from the mundane dry-fruit boxes' (enkash.com, corporate Diwali gifting trends, accessed 2026-10-06)</t>
  </si>
  <si>
    <t xml:space="preserve">Handcrafted Wooden Kitchen Utensil Set (7 pieces)</t>
  </si>
  <si>
    <t xml:space="preserve">Festive housewarming/kitchen-refresh gift</t>
  </si>
  <si>
    <t xml:space="preserve">Each utensil hand-turned, no two exactly alike</t>
  </si>
  <si>
    <t xml:space="preserve">2,290</t>
  </si>
  <si>
    <t xml:space="preserve">Seed flags: Handmade, isNew, trending</t>
  </si>
  <si>
    <t xml:space="preserve">slug handcrafted-wooden-kitchen-utensil-set, SKU WV-SRV-004</t>
  </si>
  <si>
    <t xml:space="preserve">Teak Round Coffee Table</t>
  </si>
  <si>
    <t xml:space="preserve">Small Furniture Accents (festive refresh)</t>
  </si>
  <si>
    <t xml:space="preserve">'Home refresh before Diwali guests arrive' purchase occasion</t>
  </si>
  <si>
    <t xml:space="preserve">Hand-turned top, splayed legs, teak oil finish; already isNew/trending</t>
  </si>
  <si>
    <t xml:space="preserve">15,900</t>
  </si>
  <si>
    <t xml:space="preserve">Seed flags: New, isNew/trending</t>
  </si>
  <si>
    <t xml:space="preserve">slug teak-round-coffee-table, SKU WV-TBL-003</t>
  </si>
  <si>
    <t xml:space="preserve">Kerala Teak Storage Trunk</t>
  </si>
  <si>
    <t xml:space="preserve">Doubles as coffee table + gifting-box aesthetic; pettagam tradition ties to valuables/gold</t>
  </si>
  <si>
    <t xml:space="preserve">Hammered brass bands, hand-forged lock plate, built without nails</t>
  </si>
  <si>
    <t xml:space="preserve">16,900</t>
  </si>
  <si>
    <t xml:space="preserve">Seed flags: Handmade</t>
  </si>
  <si>
    <t xml:space="preserve">slug kerala-teak-storage-trunk, SKU WV-CAB-005; highest price point in the 50</t>
  </si>
  <si>
    <t xml:space="preserve">Mango Wood Bar Stool</t>
  </si>
  <si>
    <t xml:space="preserve">Mid-tier accent furniture for festive entertaining spaces</t>
  </si>
  <si>
    <t xml:space="preserve">Saddle seat scooped by hand with a curved adze</t>
  </si>
  <si>
    <t xml:space="preserve">5,400</t>
  </si>
  <si>
    <t xml:space="preserve">Seed flags: trending</t>
  </si>
  <si>
    <t xml:space="preserve">slug mango-wood-bar-stool, SKU WV-CHR-003</t>
  </si>
  <si>
    <t xml:space="preserve">Rattan-Seat Mudha Stool</t>
  </si>
  <si>
    <t xml:space="preserve">Affordable accent seating/footrest</t>
  </si>
  <si>
    <t xml:space="preserve">Classic North Indian mudha, hand-woven rattan seat; good combo-filler weight</t>
  </si>
  <si>
    <t xml:space="preserve">slug rattan-seat-mudha-stool, SKU WV-CHR-005</t>
  </si>
  <si>
    <t xml:space="preserve">Mango Wood Plant Stand</t>
  </si>
  <si>
    <t xml:space="preserve">Marigold/tulsi pots at the festive entryway</t>
  </si>
  <si>
    <t xml:space="preserve">Tall three-legged turned stand raising a plant to eye level</t>
  </si>
  <si>
    <t xml:space="preserve">ASSUMPTION - generic plant-stand framing in seed, Diwali angle is new copy only</t>
  </si>
  <si>
    <t xml:space="preserve">slug mango-wood-plant-stand, SKU WV-PLT-002</t>
  </si>
  <si>
    <t xml:space="preserve">Channapatna Toy Set (Classic 8-Piece)</t>
  </si>
  <si>
    <t xml:space="preserve">Classic Diwali gift for young relatives</t>
  </si>
  <si>
    <t xml:space="preserve">GI-craft + child-safe vegetable-dye lacquer, no paint/chemicals</t>
  </si>
  <si>
    <t xml:space="preserve">Seed flags: GI Craft, Child-safe, featured/best/trending</t>
  </si>
  <si>
    <t xml:space="preserve">slug channapatna-toy-set-classic-8-piece, SKU WV-TOY-001</t>
  </si>
  <si>
    <t xml:space="preserve">Channapatna Stacking Rings</t>
  </si>
  <si>
    <t xml:space="preserve">Budget-tier baby/toddler Diwali gift</t>
  </si>
  <si>
    <t xml:space="preserve">Child-safe lacquer already verified in seed description</t>
  </si>
  <si>
    <t xml:space="preserve">1,090</t>
  </si>
  <si>
    <t xml:space="preserve">Seed flags: Child-safe, isNew</t>
  </si>
  <si>
    <t xml:space="preserve">slug channapatna-stacking-rings, SKU WV-TOY-002</t>
  </si>
  <si>
    <t xml:space="preserve">Kerala Teak Floor Lamp</t>
  </si>
  <si>
    <t xml:space="preserve">Lighting</t>
  </si>
  <si>
    <t xml:space="preserve">Festive evening ambience, extends 'warm light for reading corners' copy</t>
  </si>
  <si>
    <t xml:space="preserve">Tripod hand-turned shaft with brass fitting</t>
  </si>
  <si>
    <t xml:space="preserve">9,790</t>
  </si>
  <si>
    <t xml:space="preserve">Seed flags: featured</t>
  </si>
  <si>
    <t xml:space="preserve">slug kerala-teak-floor-lamp, SKU WV-LMP-001</t>
  </si>
  <si>
    <t xml:space="preserve">Jaali Carved Table Lamp</t>
  </si>
  <si>
    <t xml:space="preserve">Pierced-shadow ambient light doubles as pooja-room/living-room festive lighting</t>
  </si>
  <si>
    <t xml:space="preserve">Each of 4 panels hand-pierced, no two alike</t>
  </si>
  <si>
    <t xml:space="preserve">4,690</t>
  </si>
  <si>
    <t xml:space="preserve">slug jaali-carved-table-lamp, SKU WV-LMP-002</t>
  </si>
  <si>
    <t xml:space="preserve">Woven Cane Pendant Light</t>
  </si>
  <si>
    <t xml:space="preserve">Dining-table festive ambience for Diwali entertaining</t>
  </si>
  <si>
    <t xml:space="preserve">Hand-woven open-hex cane dome over a wooden ring frame</t>
  </si>
  <si>
    <t xml:space="preserve">3,690</t>
  </si>
  <si>
    <t xml:space="preserve">ASSUMPTION - generic ambient-light framing, Diwali angle is new copy only</t>
  </si>
  <si>
    <t xml:space="preserve">slug woven-cane-pendant-light, SKU WV-LMP-003</t>
  </si>
  <si>
    <t xml:space="preserve">Diwali Hamper - Starter (Coaster Set + Keychain Ganesha)</t>
  </si>
  <si>
    <t xml:space="preserve">Bulk corporate thank-you / vendor gifting at volume</t>
  </si>
  <si>
    <t xml:space="preserve">Wood+brass vs plastic giveaway tchotchkes typical at this price</t>
  </si>
  <si>
    <t xml:space="preserve">799-999</t>
  </si>
  <si>
    <t xml:space="preserve">Combo wrapper makes thin-margin small items viable per unit-economics-model.md</t>
  </si>
  <si>
    <t xml:space="preserve">Genuinely new combo (components: items 29+30); decision 0037 combo engine</t>
  </si>
  <si>
    <t xml:space="preserve">Diwali Hamper - Classic (Masala Dabba + Serving Tray + Aarti Stand)</t>
  </si>
  <si>
    <t xml:space="preserve">Personal-gifting mid-tier spanning kitchen + pooja rooms</t>
  </si>
  <si>
    <t xml:space="preserve">Bundles existing bestseller craft lines into one Diwali-framed gift</t>
  </si>
  <si>
    <t xml:space="preserve">2,999-3,999</t>
  </si>
  <si>
    <t xml:space="preserve">Genuinely new combo (components: items 33+27+3); decision 0037 combo engine</t>
  </si>
  <si>
    <t xml:space="preserve">Corporate Bulk Gifting Set - Branded (Chess Set + Inlay Tray + branded card/plate)</t>
  </si>
  <si>
    <t xml:space="preserve">B2B bulk occasion explicit in brief; personalisation/branding named as 2025-26 differentiator</t>
  </si>
  <si>
    <t xml:space="preserve">Engraved/branded corporate set vs unbranded generic hampers</t>
  </si>
  <si>
    <t xml:space="preserve">6,999-8,999 /unit at bulk pricing</t>
  </si>
  <si>
    <t xml:space="preserve">ESTIMATE - personalisation named as corporate differentiator (bombaysweetshop.com; enkash.com, accessed 2026-10-06)</t>
  </si>
  <si>
    <t xml:space="preserve">Needs engraving/branding capability + MOQ/lead-time check before any client quote (see markdown Sec 4, decision 2)</t>
  </si>
  <si>
    <t xml:space="preserve">Legend:</t>
  </si>
  <si>
    <t xml:space="preserve">Hero pick (top 10)</t>
  </si>
  <si>
    <t xml:space="preserve">Catalogue (already seeded, re-merchandised)</t>
  </si>
  <si>
    <t xml:space="preserve">New SKU (buildable now)</t>
  </si>
  <si>
    <t xml:space="preserve">Stretch (capability check needed)</t>
  </si>
  <si>
    <t xml:space="preserve">Rank</t>
  </si>
  <si>
    <t xml:space="preserve">Why it's a hero</t>
  </si>
  <si>
    <t xml:space="preserve">Biggest white-space gap named in positioning doc; already costed as S1 in the starter-catalogue plan. STRETCH + URGENT decision (see Method sheet).</t>
  </si>
  <si>
    <t xml:space="preserve">Already Best Seller + Trending in the seed; zero build work.</t>
  </si>
  <si>
    <t xml:space="preserve">Healthiest margin in the whole unit-economics model (24.5% after CAC).</t>
  </si>
  <si>
    <t xml:space="preserve">Completes the named, searched 'Laxmi-Ganesh' pair; one new SKU (Lakshmi) reuses an existing craft process.</t>
  </si>
  <si>
    <t xml:space="preserve">Premium personal/corporate gifting tray; brass inlay vs mass acacia trays.</t>
  </si>
  <si>
    <t xml:space="preserve">Torans are the #1-cited Diwali purchase category in research; currently a zero-SKU gap.</t>
  </si>
  <si>
    <t xml:space="preserve">Corporate research flags personalised/craft hampers as the growing segment; built on the live combo engine (decision 0037).</t>
  </si>
  <si>
    <t xml:space="preserve">Already Best Seller + Trending; 'good luck' prosperity framing fits Diwali with zero rework.</t>
  </si>
  <si>
    <t xml:space="preserve">Wood-housed answer to the craft/customisation diya trend without becoming a generic clay diya.</t>
  </si>
  <si>
    <t xml:space="preserve">Family-gathering gift for the Diwali long weekend; zero new build work.</t>
  </si>
  <si>
    <t xml:space="preserve">Item count</t>
  </si>
  <si>
    <t xml:space="preserve">Catalogue count</t>
  </si>
  <si>
    <t xml:space="preserve">New SKU count</t>
  </si>
  <si>
    <t xml:space="preserve">Stretch count</t>
  </si>
  <si>
    <t xml:space="preserve">Min price band (INR)</t>
  </si>
  <si>
    <t xml:space="preserve">Max price band (INR)</t>
  </si>
  <si>
    <t xml:space="preserve">Avg of band midpoints (INR)</t>
  </si>
  <si>
    <t xml:space="preserve">TOTAL (all 50)</t>
  </si>
  <si>
    <t xml:space="preserve">Note: 'Min/Max price band' uses each item's lower/upper quoted price band; 'Avg of band midpoints' is the mean of (min+max)/2 across items in the category, used only to compare price-tier breadth across categories, not as a selling price.</t>
  </si>
  <si>
    <t xml:space="preserve">Method, sources and caveats</t>
  </si>
  <si>
    <t xml:space="preserve">Scope &amp; date</t>
  </si>
  <si>
    <t xml:space="preserve">Built 2026-10-06 for The Wood Vintage's India-domestic Diwali 2026 push (Diwali = 8 Nov 2026, owner-stated; ~33 days of runway at time of writing). Navratri (11 Oct 2026) treated as a content-only warm-up window per docs/marketing/india-navratri-diwali-plan.md.</t>
  </si>
  <si>
    <t xml:space="preserve">Sources read</t>
  </si>
  <si>
    <t xml:space="preserve">Local DB was down at :5000 on 2026-10-06, so read backend/prisma/seed-data/catalogue.ts directly for the real 46-product seeded catalogue (all 'catalogue' rows cite the exact slug/SKU). Also read: docs/competitor-research/india-market-price-benchmark.md (196-row India price table), docs/competitor-research/india-competitor-analysis.md, docs/marketing/positioning-and-usp.md, docs/marketing/unit-economics-model.md, docs/marketing/first-100/03-starter-catalogue.md (superseded India starter-catalogue plan, S1-S16/Q1-Q4 - used to flag which 'new SKU' ideas were already planned vs genuinely new for Diwali), decisions 0028/0037/0039.</t>
  </si>
  <si>
    <t xml:space="preserve">Web research</t>
  </si>
  <si>
    <t xml:space="preserve">4 targeted web searches run 2026-10-06 for genuine Diwali/festive-gifting demand signals in India 2026 (Amazon/Flipkart Diwali bestsellers, Pepperfry/Wooden Street festive collections, corporate gifting trend blogs, general Diwali decor trend blogs). Kept deliberately light per owner instruction ('be fast and decisive, do not over-research') - this is a demand-signal scan, not an exhaustive study.</t>
  </si>
  <si>
    <t xml:space="preserve">Evidence tags used inline</t>
  </si>
  <si>
    <t xml:space="preserve">VERIFIED = read live or in-repo 2026-10-06. ESTIMATE = search snippet/blog, undated or third-party, not independently re-verified. ASSUMPTION = our judgement, owner to confirm. No sales figures, review counts or 'bestseller' claims were invented for The Wood Vintage itself - every signal cites what a third-party source said about the category, never a fabricated claim about our own past sales (we have none; pre-launch).</t>
  </si>
  <si>
    <t xml:space="preserve">Source status definitions</t>
  </si>
  <si>
    <t xml:space="preserve">'catalogue' = one of the 46 products already seeded in catalogue.ts (exact slug/SKU given in Notes) - Diwali relevance is a re-merchandising case, zero new build. 'new SKU' = not in the 46-product seed, buildable now with capability already demonstrated elsewhere in the catalogue (same craft, different form). 'stretch' = needs an explicit capability/capacity check (multi-panel carved doors for the mandir unit; engraving/branding for corporate bulk) before committing a ship date.</t>
  </si>
  <si>
    <t xml:space="preserve">Planning-doc flag</t>
  </si>
  <si>
    <t xml:space="preserve">Separately noted in the Notes column: some 'new SKU' ideas were already specified as S1-S16/Q1-Q4 in the superseded India starter-catalogue plan (spec reusable, e.g. the mandir unit = S1). Everything else tagged 'new SKU' is genuinely new, proposed for the first time here because Diwali research surfaced a demand signal the existing plans did not cover (torans, wood-based diyas, pooja accessories, coasters, hampers, the Lakshmi companion figure).</t>
  </si>
  <si>
    <t xml:space="preserve">Lead time classes</t>
  </si>
  <si>
    <t xml:space="preserve">quick = &lt;=7 working days, standard = 8-15 days, intricate = 16+ days (heavy carving/multi-step assembly). Catalogue items use the real 'days' field from the seed data. New-SKU estimates are by analogy to the closest existing catalogue process (stated in each row's Notes) and have NOT been test-built - confirm with the Jodhpur workshop before publishing any delivery-date promise.</t>
  </si>
  <si>
    <t xml:space="preserve">Price bands</t>
  </si>
  <si>
    <t xml:space="preserve">INR, GST-inclusive. Catalogue rows cite the actual seed price (and size-variant range where one exists). New-SKU/stretch rows are estimated against the India price benchmark and/or the unit-economics launch-band tables, by analogy to the closest comparable product - these are launch-band proposals, not confirmed selling prices; the owner's real ex-factory cost replaces every cost assumption behind them (unit-economics-model.md Sec 9 checklist).</t>
  </si>
  <si>
    <t xml:space="preserve">Margin caution</t>
  </si>
  <si>
    <t xml:space="preserve">unit-economics-model.md shows small kitchen-wood items (trays, boards, spice/coaster sets) at 2-9% contribution before CAC and negative after a typical paid CAC. Several budget items in this list (coaster set, mini coaster+keychain combo) are included for genuine Diwali relevance and price-band diversity but are flagged in their Notes to be sold through combos/hampers or organic channels, not as the hero creative in a paid Diwali ad.</t>
  </si>
  <si>
    <t xml:space="preserve">Diversity rule applied</t>
  </si>
  <si>
    <t xml:space="preserve">No sub-category holds more than 6 items; price bands span INR 299 (budget combo) to INR 16,900 (Kerala teak storage trunk) and up to INR 14,999-16,999+ (carved mandir unit).</t>
  </si>
  <si>
    <t xml:space="preserve">Data gaps</t>
  </si>
  <si>
    <t xml:space="preserve">No access to live Amazon.in/Pepperfry/Flipkart Diwali category pages this session (search snippets only). No Wood Vintage sales/order history exists yet (pre-launch). New-SKU lead times are estimates, not test-builds. See the markdown deliverable (50-diwali-products.md) Sec 5 for the full list.</t>
  </si>
  <si>
    <t xml:space="preserve">Companion file</t>
  </si>
  <si>
    <t xml:space="preserve">Full narrative version with all 50 items' complete relevance/uniqueness/signal write-ups, the skip/avoid section and the owner decision list lives at docs/marketing/diwali-2026/50-diwali-products.md - this workbook is the structured/sortable companion.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</si>
</sst>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INR &quot;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4B3C"/>
        <bgColor rgb="FF333300"/>
      </patternFill>
    </fill>
    <fill>
      <patternFill patternType="solid">
        <fgColor rgb="FFFDE9C8"/>
        <bgColor rgb="FFFDE2E2"/>
      </patternFill>
    </fill>
    <fill>
      <patternFill patternType="solid">
        <fgColor rgb="FFFFFFFF"/>
        <bgColor rgb="FFE6F0E6"/>
      </patternFill>
    </fill>
    <fill>
      <patternFill patternType="solid">
        <fgColor rgb="FFE6F0E6"/>
        <bgColor rgb="FFFDE2E2"/>
      </patternFill>
    </fill>
    <fill>
      <patternFill patternType="solid">
        <fgColor rgb="FFFDE2E2"/>
        <bgColor rgb="FFFDE9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E4B3C"/>
          <bgColor rgb="FF000000"/>
        </patternFill>
      </fill>
    </dxf>
    <dxf>
      <fill>
        <patternFill patternType="solid">
          <fgColor rgb="FFE6F0E6"/>
          <bgColor rgb="FF000000"/>
        </patternFill>
      </fill>
    </dxf>
    <dxf>
      <fill>
        <patternFill patternType="solid">
          <fgColor rgb="FFFDE2E2"/>
          <bgColor rgb="FF000000"/>
        </patternFill>
      </fill>
    </dxf>
    <dxf>
      <fill>
        <patternFill patternType="solid">
          <fgColor rgb="FFFDE9C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E9C8"/>
      <rgbColor rgb="FFE6F0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B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5" min="4" style="0" width="34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46"/>
    <col collapsed="false" customWidth="true" hidden="false" outlineLevel="0" max="10" min="10" style="0" width="30"/>
    <col collapsed="false" customWidth="true" hidden="false" outlineLevel="0" max="12" min="11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57.45" hidden="false" customHeight="false" outlineLevel="0" collapsed="false">
      <c r="A2" s="2" t="n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14999</v>
      </c>
      <c r="L2" s="2" t="n">
        <v>16999</v>
      </c>
    </row>
    <row r="3" customFormat="false" ht="23.85" hidden="false" customHeight="false" outlineLevel="0" collapsed="false">
      <c r="A3" s="2" t="n">
        <v>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n">
        <v>11900</v>
      </c>
      <c r="L3" s="2" t="n">
        <v>11900</v>
      </c>
    </row>
    <row r="4" customFormat="false" ht="23.85" hidden="false" customHeight="false" outlineLevel="0" collapsed="false">
      <c r="A4" s="2" t="n">
        <v>3</v>
      </c>
      <c r="B4" s="2" t="s">
        <v>30</v>
      </c>
      <c r="C4" s="2" t="s">
        <v>22</v>
      </c>
      <c r="D4" s="2" t="s">
        <v>31</v>
      </c>
      <c r="E4" s="2" t="s">
        <v>32</v>
      </c>
      <c r="F4" s="2" t="s">
        <v>33</v>
      </c>
      <c r="G4" s="2" t="s">
        <v>26</v>
      </c>
      <c r="H4" s="2" t="s">
        <v>27</v>
      </c>
      <c r="I4" s="2" t="s">
        <v>34</v>
      </c>
      <c r="J4" s="2" t="s">
        <v>35</v>
      </c>
      <c r="K4" s="2" t="n">
        <v>10400</v>
      </c>
      <c r="L4" s="2" t="n">
        <v>10400</v>
      </c>
    </row>
    <row r="5" customFormat="false" ht="35.05" hidden="false" customHeight="false" outlineLevel="0" collapsed="false">
      <c r="A5" s="2" t="n">
        <v>4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27</v>
      </c>
      <c r="I5" s="2" t="s">
        <v>42</v>
      </c>
      <c r="J5" s="2" t="s">
        <v>43</v>
      </c>
      <c r="K5" s="2" t="n">
        <v>4790</v>
      </c>
      <c r="L5" s="2" t="n">
        <v>5200</v>
      </c>
    </row>
    <row r="6" customFormat="false" ht="23.85" hidden="false" customHeight="false" outlineLevel="0" collapsed="false">
      <c r="A6" s="2" t="n">
        <v>5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26</v>
      </c>
      <c r="H6" s="2" t="s">
        <v>27</v>
      </c>
      <c r="I6" s="2" t="s">
        <v>49</v>
      </c>
      <c r="J6" s="2" t="s">
        <v>50</v>
      </c>
      <c r="K6" s="2" t="n">
        <v>5290</v>
      </c>
      <c r="L6" s="2" t="n">
        <v>5290</v>
      </c>
    </row>
    <row r="7" customFormat="false" ht="35.05" hidden="false" customHeight="false" outlineLevel="0" collapsed="false">
      <c r="A7" s="2" t="n">
        <v>6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41</v>
      </c>
      <c r="H7" s="2" t="s">
        <v>27</v>
      </c>
      <c r="I7" s="2" t="s">
        <v>56</v>
      </c>
      <c r="J7" s="2" t="s">
        <v>57</v>
      </c>
      <c r="K7" s="2" t="n">
        <v>1499</v>
      </c>
      <c r="L7" s="2" t="n">
        <v>1999</v>
      </c>
    </row>
    <row r="8" customFormat="false" ht="35.05" hidden="false" customHeight="false" outlineLevel="0" collapsed="false">
      <c r="A8" s="2" t="n">
        <v>7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41</v>
      </c>
      <c r="H8" s="2" t="s">
        <v>27</v>
      </c>
      <c r="I8" s="2" t="s">
        <v>63</v>
      </c>
      <c r="J8" s="2" t="s">
        <v>64</v>
      </c>
      <c r="K8" s="2" t="n">
        <v>7999</v>
      </c>
      <c r="L8" s="2" t="n">
        <v>9999</v>
      </c>
    </row>
    <row r="9" customFormat="false" ht="23.85" hidden="false" customHeight="false" outlineLevel="0" collapsed="false">
      <c r="A9" s="2" t="n">
        <v>8</v>
      </c>
      <c r="B9" s="2" t="s">
        <v>65</v>
      </c>
      <c r="C9" s="2" t="s">
        <v>37</v>
      </c>
      <c r="D9" s="2" t="s">
        <v>66</v>
      </c>
      <c r="E9" s="2" t="s">
        <v>67</v>
      </c>
      <c r="F9" s="2" t="s">
        <v>68</v>
      </c>
      <c r="G9" s="2" t="s">
        <v>26</v>
      </c>
      <c r="H9" s="2" t="s">
        <v>27</v>
      </c>
      <c r="I9" s="2" t="s">
        <v>69</v>
      </c>
      <c r="J9" s="2" t="s">
        <v>70</v>
      </c>
      <c r="K9" s="2" t="n">
        <v>5590</v>
      </c>
      <c r="L9" s="2" t="n">
        <v>5590</v>
      </c>
    </row>
    <row r="10" customFormat="false" ht="35.05" hidden="false" customHeight="false" outlineLevel="0" collapsed="false">
      <c r="A10" s="2" t="n">
        <v>9</v>
      </c>
      <c r="B10" s="2" t="s">
        <v>71</v>
      </c>
      <c r="C10" s="2" t="s">
        <v>72</v>
      </c>
      <c r="D10" s="2" t="s">
        <v>73</v>
      </c>
      <c r="E10" s="2" t="s">
        <v>74</v>
      </c>
      <c r="F10" s="2" t="s">
        <v>75</v>
      </c>
      <c r="G10" s="2" t="s">
        <v>41</v>
      </c>
      <c r="H10" s="2" t="s">
        <v>27</v>
      </c>
      <c r="I10" s="2" t="s">
        <v>76</v>
      </c>
      <c r="J10" s="2" t="s">
        <v>77</v>
      </c>
      <c r="K10" s="2" t="n">
        <v>899</v>
      </c>
      <c r="L10" s="2" t="n">
        <v>1299</v>
      </c>
    </row>
    <row r="11" customFormat="false" ht="23.85" hidden="false" customHeight="false" outlineLevel="0" collapsed="false">
      <c r="A11" s="2" t="n">
        <v>10</v>
      </c>
      <c r="B11" s="2" t="s">
        <v>78</v>
      </c>
      <c r="C11" s="2" t="s">
        <v>79</v>
      </c>
      <c r="D11" s="2" t="s">
        <v>80</v>
      </c>
      <c r="E11" s="2" t="s">
        <v>81</v>
      </c>
      <c r="F11" s="2" t="s">
        <v>82</v>
      </c>
      <c r="G11" s="2" t="s">
        <v>26</v>
      </c>
      <c r="H11" s="2" t="s">
        <v>27</v>
      </c>
      <c r="I11" s="2" t="s">
        <v>49</v>
      </c>
      <c r="J11" s="2" t="s">
        <v>83</v>
      </c>
      <c r="K11" s="2" t="n">
        <v>7290</v>
      </c>
      <c r="L11" s="2" t="n">
        <v>7290</v>
      </c>
    </row>
    <row r="12" customFormat="false" ht="23.85" hidden="false" customHeight="false" outlineLevel="0" collapsed="false">
      <c r="A12" s="3" t="n">
        <v>11</v>
      </c>
      <c r="B12" s="3" t="s">
        <v>84</v>
      </c>
      <c r="C12" s="3" t="s">
        <v>13</v>
      </c>
      <c r="D12" s="3" t="s">
        <v>85</v>
      </c>
      <c r="E12" s="3" t="s">
        <v>86</v>
      </c>
      <c r="F12" s="3" t="s">
        <v>87</v>
      </c>
      <c r="G12" s="3" t="s">
        <v>41</v>
      </c>
      <c r="H12" s="3" t="s">
        <v>27</v>
      </c>
      <c r="I12" s="3" t="s">
        <v>88</v>
      </c>
      <c r="J12" s="3" t="s">
        <v>89</v>
      </c>
      <c r="K12" s="3" t="n">
        <v>1999</v>
      </c>
      <c r="L12" s="3" t="n">
        <v>2999</v>
      </c>
    </row>
    <row r="13" customFormat="false" ht="35.05" hidden="false" customHeight="false" outlineLevel="0" collapsed="false">
      <c r="A13" s="3" t="n">
        <v>12</v>
      </c>
      <c r="B13" s="3" t="s">
        <v>90</v>
      </c>
      <c r="C13" s="3" t="s">
        <v>13</v>
      </c>
      <c r="D13" s="3" t="s">
        <v>91</v>
      </c>
      <c r="E13" s="3" t="s">
        <v>92</v>
      </c>
      <c r="F13" s="3" t="s">
        <v>55</v>
      </c>
      <c r="G13" s="3" t="s">
        <v>41</v>
      </c>
      <c r="H13" s="3" t="s">
        <v>27</v>
      </c>
      <c r="I13" s="3" t="s">
        <v>93</v>
      </c>
      <c r="J13" s="3" t="s">
        <v>94</v>
      </c>
      <c r="K13" s="3" t="n">
        <v>1499</v>
      </c>
      <c r="L13" s="3" t="n">
        <v>1999</v>
      </c>
    </row>
    <row r="14" customFormat="false" ht="35.05" hidden="false" customHeight="false" outlineLevel="0" collapsed="false">
      <c r="A14" s="3" t="n">
        <v>13</v>
      </c>
      <c r="B14" s="3" t="s">
        <v>95</v>
      </c>
      <c r="C14" s="3" t="s">
        <v>13</v>
      </c>
      <c r="D14" s="3" t="s">
        <v>96</v>
      </c>
      <c r="E14" s="3" t="s">
        <v>97</v>
      </c>
      <c r="F14" s="3" t="s">
        <v>98</v>
      </c>
      <c r="G14" s="3" t="s">
        <v>41</v>
      </c>
      <c r="H14" s="3" t="s">
        <v>27</v>
      </c>
      <c r="I14" s="3" t="s">
        <v>99</v>
      </c>
      <c r="J14" s="3" t="s">
        <v>94</v>
      </c>
      <c r="K14" s="3" t="n">
        <v>2499</v>
      </c>
      <c r="L14" s="3" t="n">
        <v>3499</v>
      </c>
    </row>
    <row r="15" customFormat="false" ht="23.85" hidden="false" customHeight="false" outlineLevel="0" collapsed="false">
      <c r="A15" s="3" t="n">
        <v>14</v>
      </c>
      <c r="B15" s="3" t="s">
        <v>100</v>
      </c>
      <c r="C15" s="3" t="s">
        <v>13</v>
      </c>
      <c r="D15" s="3" t="s">
        <v>101</v>
      </c>
      <c r="E15" s="3" t="s">
        <v>102</v>
      </c>
      <c r="F15" s="3" t="s">
        <v>75</v>
      </c>
      <c r="G15" s="3" t="s">
        <v>41</v>
      </c>
      <c r="H15" s="3" t="s">
        <v>27</v>
      </c>
      <c r="I15" s="3" t="s">
        <v>103</v>
      </c>
      <c r="J15" s="3" t="s">
        <v>94</v>
      </c>
      <c r="K15" s="3" t="n">
        <v>899</v>
      </c>
      <c r="L15" s="3" t="n">
        <v>1299</v>
      </c>
    </row>
    <row r="16" customFormat="false" ht="23.85" hidden="false" customHeight="false" outlineLevel="0" collapsed="false">
      <c r="A16" s="3" t="n">
        <v>15</v>
      </c>
      <c r="B16" s="3" t="s">
        <v>104</v>
      </c>
      <c r="C16" s="3" t="s">
        <v>13</v>
      </c>
      <c r="D16" s="3" t="s">
        <v>105</v>
      </c>
      <c r="E16" s="3" t="s">
        <v>106</v>
      </c>
      <c r="F16" s="3" t="s">
        <v>107</v>
      </c>
      <c r="G16" s="3" t="s">
        <v>41</v>
      </c>
      <c r="H16" s="3" t="s">
        <v>108</v>
      </c>
      <c r="I16" s="3" t="s">
        <v>109</v>
      </c>
      <c r="J16" s="3" t="s">
        <v>94</v>
      </c>
      <c r="K16" s="3" t="n">
        <v>399</v>
      </c>
      <c r="L16" s="3" t="n">
        <v>599</v>
      </c>
    </row>
    <row r="17" customFormat="false" ht="35.05" hidden="false" customHeight="false" outlineLevel="0" collapsed="false">
      <c r="A17" s="3" t="n">
        <v>16</v>
      </c>
      <c r="B17" s="3" t="s">
        <v>110</v>
      </c>
      <c r="C17" s="3" t="s">
        <v>72</v>
      </c>
      <c r="D17" s="3" t="s">
        <v>111</v>
      </c>
      <c r="E17" s="3" t="s">
        <v>112</v>
      </c>
      <c r="F17" s="3" t="s">
        <v>113</v>
      </c>
      <c r="G17" s="3" t="s">
        <v>41</v>
      </c>
      <c r="H17" s="3" t="s">
        <v>108</v>
      </c>
      <c r="I17" s="3" t="s">
        <v>114</v>
      </c>
      <c r="J17" s="3" t="s">
        <v>94</v>
      </c>
      <c r="K17" s="3" t="n">
        <v>999</v>
      </c>
      <c r="L17" s="3" t="n">
        <v>1499</v>
      </c>
    </row>
    <row r="18" customFormat="false" ht="35.05" hidden="false" customHeight="false" outlineLevel="0" collapsed="false">
      <c r="A18" s="3" t="n">
        <v>17</v>
      </c>
      <c r="B18" s="3" t="s">
        <v>115</v>
      </c>
      <c r="C18" s="3" t="s">
        <v>72</v>
      </c>
      <c r="D18" s="3" t="s">
        <v>116</v>
      </c>
      <c r="E18" s="3" t="s">
        <v>117</v>
      </c>
      <c r="F18" s="3" t="s">
        <v>118</v>
      </c>
      <c r="G18" s="3" t="s">
        <v>41</v>
      </c>
      <c r="H18" s="3" t="s">
        <v>27</v>
      </c>
      <c r="I18" s="3" t="s">
        <v>119</v>
      </c>
      <c r="J18" s="3" t="s">
        <v>94</v>
      </c>
      <c r="K18" s="3" t="n">
        <v>1799</v>
      </c>
      <c r="L18" s="3" t="n">
        <v>2499</v>
      </c>
    </row>
    <row r="19" customFormat="false" ht="23.85" hidden="false" customHeight="false" outlineLevel="0" collapsed="false">
      <c r="A19" s="3" t="n">
        <v>18</v>
      </c>
      <c r="B19" s="3" t="s">
        <v>120</v>
      </c>
      <c r="C19" s="3" t="s">
        <v>72</v>
      </c>
      <c r="D19" s="3" t="s">
        <v>121</v>
      </c>
      <c r="E19" s="3" t="s">
        <v>122</v>
      </c>
      <c r="F19" s="3" t="s">
        <v>123</v>
      </c>
      <c r="G19" s="3" t="s">
        <v>41</v>
      </c>
      <c r="H19" s="3" t="s">
        <v>27</v>
      </c>
      <c r="I19" s="3" t="s">
        <v>114</v>
      </c>
      <c r="J19" s="3" t="s">
        <v>94</v>
      </c>
      <c r="K19" s="3" t="n">
        <v>2299</v>
      </c>
      <c r="L19" s="3" t="n">
        <v>2999</v>
      </c>
    </row>
    <row r="20" customFormat="false" ht="23.85" hidden="false" customHeight="false" outlineLevel="0" collapsed="false">
      <c r="A20" s="3" t="n">
        <v>19</v>
      </c>
      <c r="B20" s="3" t="s">
        <v>124</v>
      </c>
      <c r="C20" s="3" t="s">
        <v>52</v>
      </c>
      <c r="D20" s="3" t="s">
        <v>125</v>
      </c>
      <c r="E20" s="3" t="s">
        <v>126</v>
      </c>
      <c r="F20" s="3" t="s">
        <v>127</v>
      </c>
      <c r="G20" s="3" t="s">
        <v>41</v>
      </c>
      <c r="H20" s="3" t="s">
        <v>27</v>
      </c>
      <c r="I20" s="3" t="s">
        <v>128</v>
      </c>
      <c r="J20" s="3" t="s">
        <v>94</v>
      </c>
      <c r="K20" s="3" t="n">
        <v>1299</v>
      </c>
      <c r="L20" s="3" t="n">
        <v>1799</v>
      </c>
    </row>
    <row r="21" customFormat="false" ht="23.85" hidden="false" customHeight="false" outlineLevel="0" collapsed="false">
      <c r="A21" s="3" t="n">
        <v>20</v>
      </c>
      <c r="B21" s="3" t="s">
        <v>129</v>
      </c>
      <c r="C21" s="3" t="s">
        <v>52</v>
      </c>
      <c r="D21" s="3" t="s">
        <v>130</v>
      </c>
      <c r="E21" s="3" t="s">
        <v>131</v>
      </c>
      <c r="F21" s="3" t="s">
        <v>132</v>
      </c>
      <c r="G21" s="3" t="s">
        <v>41</v>
      </c>
      <c r="H21" s="3" t="s">
        <v>108</v>
      </c>
      <c r="I21" s="3" t="s">
        <v>114</v>
      </c>
      <c r="J21" s="3" t="s">
        <v>133</v>
      </c>
      <c r="K21" s="3" t="n">
        <v>599</v>
      </c>
      <c r="L21" s="3" t="n">
        <v>899</v>
      </c>
    </row>
    <row r="22" customFormat="false" ht="23.85" hidden="false" customHeight="false" outlineLevel="0" collapsed="false">
      <c r="A22" s="3" t="n">
        <v>21</v>
      </c>
      <c r="B22" s="3" t="s">
        <v>134</v>
      </c>
      <c r="C22" s="3" t="s">
        <v>52</v>
      </c>
      <c r="D22" s="3" t="s">
        <v>135</v>
      </c>
      <c r="E22" s="3" t="s">
        <v>136</v>
      </c>
      <c r="F22" s="3" t="s">
        <v>137</v>
      </c>
      <c r="G22" s="3" t="s">
        <v>41</v>
      </c>
      <c r="H22" s="3" t="s">
        <v>108</v>
      </c>
      <c r="I22" s="3" t="s">
        <v>114</v>
      </c>
      <c r="J22" s="3" t="s">
        <v>94</v>
      </c>
      <c r="K22" s="3" t="n">
        <v>799</v>
      </c>
      <c r="L22" s="3" t="n">
        <v>1199</v>
      </c>
    </row>
    <row r="23" customFormat="false" ht="23.85" hidden="false" customHeight="false" outlineLevel="0" collapsed="false">
      <c r="A23" s="4" t="n">
        <v>22</v>
      </c>
      <c r="B23" s="4" t="s">
        <v>138</v>
      </c>
      <c r="C23" s="4" t="s">
        <v>22</v>
      </c>
      <c r="D23" s="4" t="s">
        <v>139</v>
      </c>
      <c r="E23" s="4" t="s">
        <v>140</v>
      </c>
      <c r="F23" s="4" t="s">
        <v>141</v>
      </c>
      <c r="G23" s="4" t="s">
        <v>26</v>
      </c>
      <c r="H23" s="4" t="s">
        <v>18</v>
      </c>
      <c r="I23" s="4" t="s">
        <v>142</v>
      </c>
      <c r="J23" s="4" t="s">
        <v>143</v>
      </c>
      <c r="K23" s="4" t="n">
        <v>10490</v>
      </c>
      <c r="L23" s="4" t="n">
        <v>10490</v>
      </c>
    </row>
    <row r="24" customFormat="false" ht="35.05" hidden="false" customHeight="false" outlineLevel="0" collapsed="false">
      <c r="A24" s="4" t="n">
        <v>23</v>
      </c>
      <c r="B24" s="4" t="s">
        <v>144</v>
      </c>
      <c r="C24" s="4" t="s">
        <v>22</v>
      </c>
      <c r="D24" s="4" t="s">
        <v>145</v>
      </c>
      <c r="E24" s="4" t="s">
        <v>146</v>
      </c>
      <c r="F24" s="4" t="s">
        <v>147</v>
      </c>
      <c r="G24" s="4" t="s">
        <v>26</v>
      </c>
      <c r="H24" s="4" t="s">
        <v>27</v>
      </c>
      <c r="I24" s="4" t="s">
        <v>148</v>
      </c>
      <c r="J24" s="4" t="s">
        <v>149</v>
      </c>
      <c r="K24" s="4" t="n">
        <v>4690</v>
      </c>
      <c r="L24" s="4" t="n">
        <v>10290</v>
      </c>
    </row>
    <row r="25" customFormat="false" ht="23.85" hidden="false" customHeight="false" outlineLevel="0" collapsed="false">
      <c r="A25" s="4" t="n">
        <v>24</v>
      </c>
      <c r="B25" s="4" t="s">
        <v>150</v>
      </c>
      <c r="C25" s="4" t="s">
        <v>22</v>
      </c>
      <c r="D25" s="4" t="s">
        <v>151</v>
      </c>
      <c r="E25" s="4" t="s">
        <v>152</v>
      </c>
      <c r="F25" s="4" t="s">
        <v>153</v>
      </c>
      <c r="G25" s="4" t="s">
        <v>26</v>
      </c>
      <c r="H25" s="4" t="s">
        <v>27</v>
      </c>
      <c r="I25" s="4" t="s">
        <v>154</v>
      </c>
      <c r="J25" s="4" t="s">
        <v>155</v>
      </c>
      <c r="K25" s="4" t="n">
        <v>5490</v>
      </c>
      <c r="L25" s="4" t="n">
        <v>5490</v>
      </c>
    </row>
    <row r="26" customFormat="false" ht="35.05" hidden="false" customHeight="false" outlineLevel="0" collapsed="false">
      <c r="A26" s="3" t="n">
        <v>25</v>
      </c>
      <c r="B26" s="3" t="s">
        <v>156</v>
      </c>
      <c r="C26" s="3" t="s">
        <v>22</v>
      </c>
      <c r="D26" s="3" t="s">
        <v>157</v>
      </c>
      <c r="E26" s="3" t="s">
        <v>158</v>
      </c>
      <c r="F26" s="3" t="s">
        <v>159</v>
      </c>
      <c r="G26" s="3" t="s">
        <v>41</v>
      </c>
      <c r="H26" s="3" t="s">
        <v>108</v>
      </c>
      <c r="I26" s="3" t="s">
        <v>160</v>
      </c>
      <c r="J26" s="3" t="s">
        <v>161</v>
      </c>
      <c r="K26" s="3" t="n">
        <v>699</v>
      </c>
      <c r="L26" s="3" t="n">
        <v>1299</v>
      </c>
    </row>
    <row r="27" customFormat="false" ht="35.05" hidden="false" customHeight="false" outlineLevel="0" collapsed="false">
      <c r="A27" s="4" t="n">
        <v>26</v>
      </c>
      <c r="B27" s="4" t="s">
        <v>162</v>
      </c>
      <c r="C27" s="4" t="s">
        <v>37</v>
      </c>
      <c r="D27" s="4" t="s">
        <v>163</v>
      </c>
      <c r="E27" s="4" t="s">
        <v>164</v>
      </c>
      <c r="F27" s="4" t="s">
        <v>165</v>
      </c>
      <c r="G27" s="4" t="s">
        <v>26</v>
      </c>
      <c r="H27" s="4" t="s">
        <v>27</v>
      </c>
      <c r="I27" s="4" t="s">
        <v>166</v>
      </c>
      <c r="J27" s="4" t="s">
        <v>167</v>
      </c>
      <c r="K27" s="4" t="n">
        <v>4790</v>
      </c>
      <c r="L27" s="4" t="n">
        <v>4790</v>
      </c>
    </row>
    <row r="28" customFormat="false" ht="23.85" hidden="false" customHeight="false" outlineLevel="0" collapsed="false">
      <c r="A28" s="4" t="n">
        <v>27</v>
      </c>
      <c r="B28" s="4" t="s">
        <v>168</v>
      </c>
      <c r="C28" s="4" t="s">
        <v>37</v>
      </c>
      <c r="D28" s="4" t="s">
        <v>169</v>
      </c>
      <c r="E28" s="4" t="s">
        <v>170</v>
      </c>
      <c r="F28" s="4" t="s">
        <v>171</v>
      </c>
      <c r="G28" s="4" t="s">
        <v>26</v>
      </c>
      <c r="H28" s="4" t="s">
        <v>27</v>
      </c>
      <c r="I28" s="4" t="s">
        <v>172</v>
      </c>
      <c r="J28" s="4" t="s">
        <v>173</v>
      </c>
      <c r="K28" s="4" t="n">
        <v>7190</v>
      </c>
      <c r="L28" s="4" t="n">
        <v>7190</v>
      </c>
    </row>
    <row r="29" customFormat="false" ht="35.05" hidden="false" customHeight="false" outlineLevel="0" collapsed="false">
      <c r="A29" s="4" t="n">
        <v>28</v>
      </c>
      <c r="B29" s="4" t="s">
        <v>174</v>
      </c>
      <c r="C29" s="4" t="s">
        <v>37</v>
      </c>
      <c r="D29" s="4" t="s">
        <v>175</v>
      </c>
      <c r="E29" s="4" t="s">
        <v>176</v>
      </c>
      <c r="F29" s="4" t="s">
        <v>177</v>
      </c>
      <c r="G29" s="4" t="s">
        <v>26</v>
      </c>
      <c r="H29" s="4" t="s">
        <v>27</v>
      </c>
      <c r="I29" s="4" t="s">
        <v>178</v>
      </c>
      <c r="J29" s="4" t="s">
        <v>179</v>
      </c>
      <c r="K29" s="4" t="n">
        <v>7900</v>
      </c>
      <c r="L29" s="4" t="n">
        <v>7900</v>
      </c>
    </row>
    <row r="30" customFormat="false" ht="23.85" hidden="false" customHeight="false" outlineLevel="0" collapsed="false">
      <c r="A30" s="4" t="n">
        <v>29</v>
      </c>
      <c r="B30" s="4" t="s">
        <v>180</v>
      </c>
      <c r="C30" s="4" t="s">
        <v>45</v>
      </c>
      <c r="D30" s="4" t="s">
        <v>181</v>
      </c>
      <c r="E30" s="4" t="s">
        <v>182</v>
      </c>
      <c r="F30" s="4" t="s">
        <v>183</v>
      </c>
      <c r="G30" s="4" t="s">
        <v>26</v>
      </c>
      <c r="H30" s="4" t="s">
        <v>108</v>
      </c>
      <c r="I30" s="4" t="s">
        <v>184</v>
      </c>
      <c r="J30" s="4" t="s">
        <v>185</v>
      </c>
      <c r="K30" s="4" t="n">
        <v>2590</v>
      </c>
      <c r="L30" s="4" t="n">
        <v>2590</v>
      </c>
    </row>
    <row r="31" customFormat="false" ht="23.85" hidden="false" customHeight="false" outlineLevel="0" collapsed="false">
      <c r="A31" s="4" t="n">
        <v>30</v>
      </c>
      <c r="B31" s="4" t="s">
        <v>186</v>
      </c>
      <c r="C31" s="4" t="s">
        <v>45</v>
      </c>
      <c r="D31" s="4" t="s">
        <v>187</v>
      </c>
      <c r="E31" s="4" t="s">
        <v>188</v>
      </c>
      <c r="F31" s="4" t="s">
        <v>189</v>
      </c>
      <c r="G31" s="4" t="s">
        <v>26</v>
      </c>
      <c r="H31" s="4" t="s">
        <v>108</v>
      </c>
      <c r="I31" s="4" t="s">
        <v>190</v>
      </c>
      <c r="J31" s="4" t="s">
        <v>191</v>
      </c>
      <c r="K31" s="4" t="n">
        <v>2990</v>
      </c>
      <c r="L31" s="4" t="n">
        <v>2990</v>
      </c>
    </row>
    <row r="32" customFormat="false" ht="35.05" hidden="false" customHeight="false" outlineLevel="0" collapsed="false">
      <c r="A32" s="3" t="n">
        <v>31</v>
      </c>
      <c r="B32" s="3" t="s">
        <v>192</v>
      </c>
      <c r="C32" s="3" t="s">
        <v>45</v>
      </c>
      <c r="D32" s="3" t="s">
        <v>193</v>
      </c>
      <c r="E32" s="3" t="s">
        <v>194</v>
      </c>
      <c r="F32" s="3" t="s">
        <v>195</v>
      </c>
      <c r="G32" s="3" t="s">
        <v>41</v>
      </c>
      <c r="H32" s="3" t="s">
        <v>108</v>
      </c>
      <c r="I32" s="3" t="s">
        <v>196</v>
      </c>
      <c r="J32" s="3" t="s">
        <v>94</v>
      </c>
      <c r="K32" s="3" t="n">
        <v>499</v>
      </c>
      <c r="L32" s="3" t="n">
        <v>799</v>
      </c>
    </row>
    <row r="33" customFormat="false" ht="23.85" hidden="false" customHeight="false" outlineLevel="0" collapsed="false">
      <c r="A33" s="3" t="n">
        <v>32</v>
      </c>
      <c r="B33" s="3" t="s">
        <v>197</v>
      </c>
      <c r="C33" s="3" t="s">
        <v>45</v>
      </c>
      <c r="D33" s="3" t="s">
        <v>198</v>
      </c>
      <c r="E33" s="3" t="s">
        <v>199</v>
      </c>
      <c r="F33" s="3" t="s">
        <v>200</v>
      </c>
      <c r="G33" s="3" t="s">
        <v>41</v>
      </c>
      <c r="H33" s="3" t="s">
        <v>108</v>
      </c>
      <c r="I33" s="3" t="s">
        <v>201</v>
      </c>
      <c r="J33" s="3" t="s">
        <v>202</v>
      </c>
      <c r="K33" s="3" t="n">
        <v>299</v>
      </c>
      <c r="L33" s="3" t="n">
        <v>349</v>
      </c>
    </row>
    <row r="34" customFormat="false" ht="35.05" hidden="false" customHeight="false" outlineLevel="0" collapsed="false">
      <c r="A34" s="4" t="n">
        <v>33</v>
      </c>
      <c r="B34" s="4" t="s">
        <v>203</v>
      </c>
      <c r="C34" s="4" t="s">
        <v>45</v>
      </c>
      <c r="D34" s="4" t="s">
        <v>204</v>
      </c>
      <c r="E34" s="4" t="s">
        <v>205</v>
      </c>
      <c r="F34" s="4" t="s">
        <v>206</v>
      </c>
      <c r="G34" s="4" t="s">
        <v>26</v>
      </c>
      <c r="H34" s="4" t="s">
        <v>108</v>
      </c>
      <c r="I34" s="4" t="s">
        <v>207</v>
      </c>
      <c r="J34" s="4" t="s">
        <v>208</v>
      </c>
      <c r="K34" s="4" t="n">
        <v>1390</v>
      </c>
      <c r="L34" s="4" t="n">
        <v>2390</v>
      </c>
    </row>
    <row r="35" customFormat="false" ht="35.05" hidden="false" customHeight="false" outlineLevel="0" collapsed="false">
      <c r="A35" s="4" t="n">
        <v>34</v>
      </c>
      <c r="B35" s="4" t="s">
        <v>209</v>
      </c>
      <c r="C35" s="4" t="s">
        <v>210</v>
      </c>
      <c r="D35" s="4" t="s">
        <v>211</v>
      </c>
      <c r="E35" s="4" t="s">
        <v>212</v>
      </c>
      <c r="F35" s="4" t="s">
        <v>213</v>
      </c>
      <c r="G35" s="4" t="s">
        <v>26</v>
      </c>
      <c r="H35" s="4" t="s">
        <v>27</v>
      </c>
      <c r="I35" s="4" t="s">
        <v>214</v>
      </c>
      <c r="J35" s="4" t="s">
        <v>215</v>
      </c>
      <c r="K35" s="4" t="n">
        <v>3590</v>
      </c>
      <c r="L35" s="4" t="n">
        <v>3590</v>
      </c>
    </row>
    <row r="36" customFormat="false" ht="23.85" hidden="false" customHeight="false" outlineLevel="0" collapsed="false">
      <c r="A36" s="4" t="n">
        <v>35</v>
      </c>
      <c r="B36" s="4" t="s">
        <v>216</v>
      </c>
      <c r="C36" s="4" t="s">
        <v>210</v>
      </c>
      <c r="D36" s="4" t="s">
        <v>217</v>
      </c>
      <c r="E36" s="4" t="s">
        <v>218</v>
      </c>
      <c r="F36" s="4" t="s">
        <v>219</v>
      </c>
      <c r="G36" s="4" t="s">
        <v>26</v>
      </c>
      <c r="H36" s="4" t="s">
        <v>108</v>
      </c>
      <c r="I36" s="4" t="s">
        <v>220</v>
      </c>
      <c r="J36" s="4" t="s">
        <v>221</v>
      </c>
      <c r="K36" s="4" t="n">
        <v>2690</v>
      </c>
      <c r="L36" s="4" t="n">
        <v>2690</v>
      </c>
    </row>
    <row r="37" customFormat="false" ht="35.05" hidden="false" customHeight="false" outlineLevel="0" collapsed="false">
      <c r="A37" s="3" t="n">
        <v>36</v>
      </c>
      <c r="B37" s="3" t="s">
        <v>222</v>
      </c>
      <c r="C37" s="3" t="s">
        <v>210</v>
      </c>
      <c r="D37" s="3" t="s">
        <v>223</v>
      </c>
      <c r="E37" s="3" t="s">
        <v>224</v>
      </c>
      <c r="F37" s="3" t="s">
        <v>87</v>
      </c>
      <c r="G37" s="3" t="s">
        <v>41</v>
      </c>
      <c r="H37" s="3" t="s">
        <v>27</v>
      </c>
      <c r="I37" s="3" t="s">
        <v>225</v>
      </c>
      <c r="J37" s="3" t="s">
        <v>94</v>
      </c>
      <c r="K37" s="3" t="n">
        <v>1999</v>
      </c>
      <c r="L37" s="3" t="n">
        <v>2999</v>
      </c>
    </row>
    <row r="38" customFormat="false" ht="23.85" hidden="false" customHeight="false" outlineLevel="0" collapsed="false">
      <c r="A38" s="4" t="n">
        <v>37</v>
      </c>
      <c r="B38" s="4" t="s">
        <v>226</v>
      </c>
      <c r="C38" s="4" t="s">
        <v>210</v>
      </c>
      <c r="D38" s="4" t="s">
        <v>227</v>
      </c>
      <c r="E38" s="4" t="s">
        <v>228</v>
      </c>
      <c r="F38" s="4" t="s">
        <v>229</v>
      </c>
      <c r="G38" s="4" t="s">
        <v>26</v>
      </c>
      <c r="H38" s="4" t="s">
        <v>108</v>
      </c>
      <c r="I38" s="4" t="s">
        <v>230</v>
      </c>
      <c r="J38" s="4" t="s">
        <v>231</v>
      </c>
      <c r="K38" s="4" t="n">
        <v>2290</v>
      </c>
      <c r="L38" s="4" t="n">
        <v>2290</v>
      </c>
    </row>
    <row r="39" customFormat="false" ht="23.85" hidden="false" customHeight="false" outlineLevel="0" collapsed="false">
      <c r="A39" s="4" t="n">
        <v>38</v>
      </c>
      <c r="B39" s="4" t="s">
        <v>232</v>
      </c>
      <c r="C39" s="4" t="s">
        <v>233</v>
      </c>
      <c r="D39" s="4" t="s">
        <v>234</v>
      </c>
      <c r="E39" s="4" t="s">
        <v>235</v>
      </c>
      <c r="F39" s="4" t="s">
        <v>236</v>
      </c>
      <c r="G39" s="4" t="s">
        <v>26</v>
      </c>
      <c r="H39" s="4" t="s">
        <v>27</v>
      </c>
      <c r="I39" s="4" t="s">
        <v>237</v>
      </c>
      <c r="J39" s="4" t="s">
        <v>238</v>
      </c>
      <c r="K39" s="4" t="n">
        <v>15900</v>
      </c>
      <c r="L39" s="4" t="n">
        <v>15900</v>
      </c>
    </row>
    <row r="40" customFormat="false" ht="35.05" hidden="false" customHeight="false" outlineLevel="0" collapsed="false">
      <c r="A40" s="4" t="n">
        <v>39</v>
      </c>
      <c r="B40" s="4" t="s">
        <v>239</v>
      </c>
      <c r="C40" s="4" t="s">
        <v>233</v>
      </c>
      <c r="D40" s="4" t="s">
        <v>240</v>
      </c>
      <c r="E40" s="4" t="s">
        <v>241</v>
      </c>
      <c r="F40" s="4" t="s">
        <v>242</v>
      </c>
      <c r="G40" s="4" t="s">
        <v>26</v>
      </c>
      <c r="H40" s="4" t="s">
        <v>27</v>
      </c>
      <c r="I40" s="4" t="s">
        <v>243</v>
      </c>
      <c r="J40" s="4" t="s">
        <v>244</v>
      </c>
      <c r="K40" s="4" t="n">
        <v>16900</v>
      </c>
      <c r="L40" s="4" t="n">
        <v>16900</v>
      </c>
    </row>
    <row r="41" customFormat="false" ht="23.85" hidden="false" customHeight="false" outlineLevel="0" collapsed="false">
      <c r="A41" s="4" t="n">
        <v>40</v>
      </c>
      <c r="B41" s="4" t="s">
        <v>245</v>
      </c>
      <c r="C41" s="4" t="s">
        <v>233</v>
      </c>
      <c r="D41" s="4" t="s">
        <v>246</v>
      </c>
      <c r="E41" s="4" t="s">
        <v>247</v>
      </c>
      <c r="F41" s="4" t="s">
        <v>248</v>
      </c>
      <c r="G41" s="4" t="s">
        <v>26</v>
      </c>
      <c r="H41" s="4" t="s">
        <v>108</v>
      </c>
      <c r="I41" s="4" t="s">
        <v>249</v>
      </c>
      <c r="J41" s="4" t="s">
        <v>250</v>
      </c>
      <c r="K41" s="4" t="n">
        <v>5400</v>
      </c>
      <c r="L41" s="4" t="n">
        <v>5400</v>
      </c>
    </row>
    <row r="42" customFormat="false" ht="23.85" hidden="false" customHeight="false" outlineLevel="0" collapsed="false">
      <c r="A42" s="4" t="n">
        <v>41</v>
      </c>
      <c r="B42" s="4" t="s">
        <v>251</v>
      </c>
      <c r="C42" s="4" t="s">
        <v>233</v>
      </c>
      <c r="D42" s="4" t="s">
        <v>252</v>
      </c>
      <c r="E42" s="4" t="s">
        <v>253</v>
      </c>
      <c r="F42" s="4" t="s">
        <v>189</v>
      </c>
      <c r="G42" s="4" t="s">
        <v>26</v>
      </c>
      <c r="H42" s="4" t="s">
        <v>108</v>
      </c>
      <c r="I42" s="4" t="s">
        <v>243</v>
      </c>
      <c r="J42" s="4" t="s">
        <v>254</v>
      </c>
      <c r="K42" s="4" t="n">
        <v>2990</v>
      </c>
      <c r="L42" s="4" t="n">
        <v>2990</v>
      </c>
    </row>
    <row r="43" customFormat="false" ht="23.85" hidden="false" customHeight="false" outlineLevel="0" collapsed="false">
      <c r="A43" s="4" t="n">
        <v>42</v>
      </c>
      <c r="B43" s="4" t="s">
        <v>255</v>
      </c>
      <c r="C43" s="4" t="s">
        <v>233</v>
      </c>
      <c r="D43" s="4" t="s">
        <v>256</v>
      </c>
      <c r="E43" s="4" t="s">
        <v>257</v>
      </c>
      <c r="F43" s="4" t="s">
        <v>189</v>
      </c>
      <c r="G43" s="4" t="s">
        <v>26</v>
      </c>
      <c r="H43" s="4" t="s">
        <v>108</v>
      </c>
      <c r="I43" s="4" t="s">
        <v>258</v>
      </c>
      <c r="J43" s="4" t="s">
        <v>259</v>
      </c>
      <c r="K43" s="4" t="n">
        <v>2990</v>
      </c>
      <c r="L43" s="4" t="n">
        <v>2990</v>
      </c>
    </row>
    <row r="44" customFormat="false" ht="23.85" hidden="false" customHeight="false" outlineLevel="0" collapsed="false">
      <c r="A44" s="4" t="n">
        <v>43</v>
      </c>
      <c r="B44" s="4" t="s">
        <v>260</v>
      </c>
      <c r="C44" s="4" t="s">
        <v>79</v>
      </c>
      <c r="D44" s="4" t="s">
        <v>261</v>
      </c>
      <c r="E44" s="4" t="s">
        <v>262</v>
      </c>
      <c r="F44" s="4" t="s">
        <v>189</v>
      </c>
      <c r="G44" s="4" t="s">
        <v>26</v>
      </c>
      <c r="H44" s="4" t="s">
        <v>27</v>
      </c>
      <c r="I44" s="4" t="s">
        <v>263</v>
      </c>
      <c r="J44" s="4" t="s">
        <v>264</v>
      </c>
      <c r="K44" s="4" t="n">
        <v>2990</v>
      </c>
      <c r="L44" s="4" t="n">
        <v>2990</v>
      </c>
    </row>
    <row r="45" customFormat="false" ht="23.85" hidden="false" customHeight="false" outlineLevel="0" collapsed="false">
      <c r="A45" s="4" t="n">
        <v>44</v>
      </c>
      <c r="B45" s="4" t="s">
        <v>265</v>
      </c>
      <c r="C45" s="4" t="s">
        <v>79</v>
      </c>
      <c r="D45" s="4" t="s">
        <v>266</v>
      </c>
      <c r="E45" s="4" t="s">
        <v>267</v>
      </c>
      <c r="F45" s="4" t="s">
        <v>268</v>
      </c>
      <c r="G45" s="4" t="s">
        <v>26</v>
      </c>
      <c r="H45" s="4" t="s">
        <v>108</v>
      </c>
      <c r="I45" s="4" t="s">
        <v>269</v>
      </c>
      <c r="J45" s="4" t="s">
        <v>270</v>
      </c>
      <c r="K45" s="4" t="n">
        <v>1090</v>
      </c>
      <c r="L45" s="4" t="n">
        <v>1090</v>
      </c>
    </row>
    <row r="46" customFormat="false" ht="23.85" hidden="false" customHeight="false" outlineLevel="0" collapsed="false">
      <c r="A46" s="4" t="n">
        <v>45</v>
      </c>
      <c r="B46" s="4" t="s">
        <v>271</v>
      </c>
      <c r="C46" s="4" t="s">
        <v>272</v>
      </c>
      <c r="D46" s="4" t="s">
        <v>273</v>
      </c>
      <c r="E46" s="4" t="s">
        <v>274</v>
      </c>
      <c r="F46" s="4" t="s">
        <v>275</v>
      </c>
      <c r="G46" s="4" t="s">
        <v>26</v>
      </c>
      <c r="H46" s="4" t="s">
        <v>27</v>
      </c>
      <c r="I46" s="4" t="s">
        <v>276</v>
      </c>
      <c r="J46" s="4" t="s">
        <v>277</v>
      </c>
      <c r="K46" s="4" t="n">
        <v>9790</v>
      </c>
      <c r="L46" s="4" t="n">
        <v>9790</v>
      </c>
    </row>
    <row r="47" customFormat="false" ht="23.85" hidden="false" customHeight="false" outlineLevel="0" collapsed="false">
      <c r="A47" s="4" t="n">
        <v>46</v>
      </c>
      <c r="B47" s="4" t="s">
        <v>278</v>
      </c>
      <c r="C47" s="4" t="s">
        <v>272</v>
      </c>
      <c r="D47" s="4" t="s">
        <v>279</v>
      </c>
      <c r="E47" s="4" t="s">
        <v>280</v>
      </c>
      <c r="F47" s="4" t="s">
        <v>281</v>
      </c>
      <c r="G47" s="4" t="s">
        <v>26</v>
      </c>
      <c r="H47" s="4" t="s">
        <v>27</v>
      </c>
      <c r="I47" s="4" t="s">
        <v>237</v>
      </c>
      <c r="J47" s="4" t="s">
        <v>282</v>
      </c>
      <c r="K47" s="4" t="n">
        <v>4690</v>
      </c>
      <c r="L47" s="4" t="n">
        <v>4690</v>
      </c>
    </row>
    <row r="48" customFormat="false" ht="23.85" hidden="false" customHeight="false" outlineLevel="0" collapsed="false">
      <c r="A48" s="4" t="n">
        <v>47</v>
      </c>
      <c r="B48" s="4" t="s">
        <v>283</v>
      </c>
      <c r="C48" s="4" t="s">
        <v>272</v>
      </c>
      <c r="D48" s="4" t="s">
        <v>284</v>
      </c>
      <c r="E48" s="4" t="s">
        <v>285</v>
      </c>
      <c r="F48" s="4" t="s">
        <v>286</v>
      </c>
      <c r="G48" s="4" t="s">
        <v>26</v>
      </c>
      <c r="H48" s="4" t="s">
        <v>108</v>
      </c>
      <c r="I48" s="4" t="s">
        <v>287</v>
      </c>
      <c r="J48" s="4" t="s">
        <v>288</v>
      </c>
      <c r="K48" s="4" t="n">
        <v>3690</v>
      </c>
      <c r="L48" s="4" t="n">
        <v>3690</v>
      </c>
    </row>
    <row r="49" customFormat="false" ht="35.05" hidden="false" customHeight="false" outlineLevel="0" collapsed="false">
      <c r="A49" s="3" t="n">
        <v>48</v>
      </c>
      <c r="B49" s="3" t="s">
        <v>289</v>
      </c>
      <c r="C49" s="3" t="s">
        <v>59</v>
      </c>
      <c r="D49" s="3" t="s">
        <v>290</v>
      </c>
      <c r="E49" s="3" t="s">
        <v>291</v>
      </c>
      <c r="F49" s="3" t="s">
        <v>292</v>
      </c>
      <c r="G49" s="3" t="s">
        <v>41</v>
      </c>
      <c r="H49" s="3" t="s">
        <v>108</v>
      </c>
      <c r="I49" s="3" t="s">
        <v>293</v>
      </c>
      <c r="J49" s="3" t="s">
        <v>294</v>
      </c>
      <c r="K49" s="3" t="n">
        <v>799</v>
      </c>
      <c r="L49" s="3" t="n">
        <v>999</v>
      </c>
    </row>
    <row r="50" customFormat="false" ht="35.05" hidden="false" customHeight="false" outlineLevel="0" collapsed="false">
      <c r="A50" s="3" t="n">
        <v>49</v>
      </c>
      <c r="B50" s="3" t="s">
        <v>295</v>
      </c>
      <c r="C50" s="3" t="s">
        <v>59</v>
      </c>
      <c r="D50" s="3" t="s">
        <v>296</v>
      </c>
      <c r="E50" s="3" t="s">
        <v>297</v>
      </c>
      <c r="F50" s="3" t="s">
        <v>298</v>
      </c>
      <c r="G50" s="3" t="s">
        <v>41</v>
      </c>
      <c r="H50" s="3" t="s">
        <v>27</v>
      </c>
      <c r="I50" s="3" t="s">
        <v>114</v>
      </c>
      <c r="J50" s="3" t="s">
        <v>299</v>
      </c>
      <c r="K50" s="3" t="n">
        <v>2999</v>
      </c>
      <c r="L50" s="3" t="n">
        <v>3999</v>
      </c>
    </row>
    <row r="51" customFormat="false" ht="46.25" hidden="false" customHeight="false" outlineLevel="0" collapsed="false">
      <c r="A51" s="5" t="n">
        <v>50</v>
      </c>
      <c r="B51" s="5" t="s">
        <v>300</v>
      </c>
      <c r="C51" s="5" t="s">
        <v>59</v>
      </c>
      <c r="D51" s="5" t="s">
        <v>301</v>
      </c>
      <c r="E51" s="5" t="s">
        <v>302</v>
      </c>
      <c r="F51" s="5" t="s">
        <v>303</v>
      </c>
      <c r="G51" s="5" t="s">
        <v>17</v>
      </c>
      <c r="H51" s="5" t="s">
        <v>27</v>
      </c>
      <c r="I51" s="5" t="s">
        <v>304</v>
      </c>
      <c r="J51" s="5" t="s">
        <v>305</v>
      </c>
      <c r="K51" s="5" t="n">
        <v>6999</v>
      </c>
      <c r="L51" s="5" t="n">
        <v>8999</v>
      </c>
    </row>
    <row r="53" customFormat="false" ht="15" hidden="false" customHeight="false" outlineLevel="0" collapsed="false">
      <c r="A53" s="6" t="s">
        <v>306</v>
      </c>
    </row>
    <row r="54" customFormat="false" ht="15" hidden="false" customHeight="false" outlineLevel="0" collapsed="false">
      <c r="A54" s="7" t="s">
        <v>307</v>
      </c>
    </row>
    <row r="55" customFormat="false" ht="15" hidden="false" customHeight="false" outlineLevel="0" collapsed="false">
      <c r="A55" s="8" t="s">
        <v>308</v>
      </c>
    </row>
    <row r="56" customFormat="false" ht="15" hidden="false" customHeight="false" outlineLevel="0" collapsed="false">
      <c r="A56" s="9" t="s">
        <v>309</v>
      </c>
    </row>
    <row r="57" customFormat="false" ht="15" hidden="false" customHeight="false" outlineLevel="0" collapsed="false">
      <c r="A57" s="10" t="s">
        <v>310</v>
      </c>
    </row>
  </sheetData>
  <autoFilter ref="A1:L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60"/>
  </cols>
  <sheetData>
    <row r="1" customFormat="false" ht="21.75" hidden="false" customHeight="true" outlineLevel="0" collapsed="false">
      <c r="A1" s="1" t="s">
        <v>311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312</v>
      </c>
    </row>
    <row r="2" customFormat="false" ht="35.05" hidden="false" customHeight="false" outlineLevel="0" collapsed="false">
      <c r="A2" s="2" t="n">
        <v>1</v>
      </c>
      <c r="B2" s="2" t="s">
        <v>12</v>
      </c>
      <c r="C2" s="2" t="s">
        <v>13</v>
      </c>
      <c r="D2" s="2" t="s">
        <v>16</v>
      </c>
      <c r="E2" s="2" t="s">
        <v>17</v>
      </c>
      <c r="F2" s="2" t="s">
        <v>313</v>
      </c>
    </row>
    <row r="3" customFormat="false" ht="15" hidden="false" customHeight="false" outlineLevel="0" collapsed="false">
      <c r="A3" s="2" t="n">
        <v>2</v>
      </c>
      <c r="B3" s="2" t="s">
        <v>21</v>
      </c>
      <c r="C3" s="2" t="s">
        <v>22</v>
      </c>
      <c r="D3" s="2" t="s">
        <v>25</v>
      </c>
      <c r="E3" s="2" t="s">
        <v>26</v>
      </c>
      <c r="F3" s="2" t="s">
        <v>314</v>
      </c>
    </row>
    <row r="4" customFormat="false" ht="15" hidden="false" customHeight="false" outlineLevel="0" collapsed="false">
      <c r="A4" s="2" t="n">
        <v>3</v>
      </c>
      <c r="B4" s="2" t="s">
        <v>30</v>
      </c>
      <c r="C4" s="2" t="s">
        <v>22</v>
      </c>
      <c r="D4" s="2" t="s">
        <v>33</v>
      </c>
      <c r="E4" s="2" t="s">
        <v>26</v>
      </c>
      <c r="F4" s="2" t="s">
        <v>315</v>
      </c>
    </row>
    <row r="5" customFormat="false" ht="23.85" hidden="false" customHeight="false" outlineLevel="0" collapsed="false">
      <c r="A5" s="2" t="n">
        <v>4</v>
      </c>
      <c r="B5" s="2" t="s">
        <v>36</v>
      </c>
      <c r="C5" s="2" t="s">
        <v>37</v>
      </c>
      <c r="D5" s="2" t="s">
        <v>40</v>
      </c>
      <c r="E5" s="2" t="s">
        <v>41</v>
      </c>
      <c r="F5" s="2" t="s">
        <v>316</v>
      </c>
    </row>
    <row r="6" customFormat="false" ht="23.85" hidden="false" customHeight="false" outlineLevel="0" collapsed="false">
      <c r="A6" s="2" t="n">
        <v>5</v>
      </c>
      <c r="B6" s="2" t="s">
        <v>44</v>
      </c>
      <c r="C6" s="2" t="s">
        <v>45</v>
      </c>
      <c r="D6" s="2" t="s">
        <v>48</v>
      </c>
      <c r="E6" s="2" t="s">
        <v>26</v>
      </c>
      <c r="F6" s="2" t="s">
        <v>317</v>
      </c>
    </row>
    <row r="7" customFormat="false" ht="23.85" hidden="false" customHeight="false" outlineLevel="0" collapsed="false">
      <c r="A7" s="2" t="n">
        <v>6</v>
      </c>
      <c r="B7" s="2" t="s">
        <v>51</v>
      </c>
      <c r="C7" s="2" t="s">
        <v>52</v>
      </c>
      <c r="D7" s="2" t="s">
        <v>55</v>
      </c>
      <c r="E7" s="2" t="s">
        <v>41</v>
      </c>
      <c r="F7" s="2" t="s">
        <v>318</v>
      </c>
    </row>
    <row r="8" customFormat="false" ht="23.85" hidden="false" customHeight="false" outlineLevel="0" collapsed="false">
      <c r="A8" s="2" t="n">
        <v>7</v>
      </c>
      <c r="B8" s="2" t="s">
        <v>58</v>
      </c>
      <c r="C8" s="2" t="s">
        <v>59</v>
      </c>
      <c r="D8" s="2" t="s">
        <v>62</v>
      </c>
      <c r="E8" s="2" t="s">
        <v>41</v>
      </c>
      <c r="F8" s="2" t="s">
        <v>319</v>
      </c>
    </row>
    <row r="9" customFormat="false" ht="23.85" hidden="false" customHeight="false" outlineLevel="0" collapsed="false">
      <c r="A9" s="2" t="n">
        <v>8</v>
      </c>
      <c r="B9" s="2" t="s">
        <v>65</v>
      </c>
      <c r="C9" s="2" t="s">
        <v>37</v>
      </c>
      <c r="D9" s="2" t="s">
        <v>68</v>
      </c>
      <c r="E9" s="2" t="s">
        <v>26</v>
      </c>
      <c r="F9" s="2" t="s">
        <v>320</v>
      </c>
    </row>
    <row r="10" customFormat="false" ht="23.85" hidden="false" customHeight="false" outlineLevel="0" collapsed="false">
      <c r="A10" s="2" t="n">
        <v>9</v>
      </c>
      <c r="B10" s="2" t="s">
        <v>71</v>
      </c>
      <c r="C10" s="2" t="s">
        <v>72</v>
      </c>
      <c r="D10" s="2" t="s">
        <v>75</v>
      </c>
      <c r="E10" s="2" t="s">
        <v>41</v>
      </c>
      <c r="F10" s="2" t="s">
        <v>321</v>
      </c>
    </row>
    <row r="11" customFormat="false" ht="15" hidden="false" customHeight="false" outlineLevel="0" collapsed="false">
      <c r="A11" s="2" t="n">
        <v>10</v>
      </c>
      <c r="B11" s="2" t="s">
        <v>78</v>
      </c>
      <c r="C11" s="2" t="s">
        <v>79</v>
      </c>
      <c r="D11" s="2" t="s">
        <v>82</v>
      </c>
      <c r="E11" s="2" t="s">
        <v>26</v>
      </c>
      <c r="F11" s="2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7" min="6" style="0" width="16"/>
    <col collapsed="false" customWidth="true" hidden="false" outlineLevel="0" max="8" min="8" style="0" width="20"/>
  </cols>
  <sheetData>
    <row r="1" customFormat="false" ht="30" hidden="false" customHeight="true" outlineLevel="0" collapsed="false">
      <c r="A1" s="1" t="s">
        <v>2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</row>
    <row r="2" customFormat="false" ht="15" hidden="false" customHeight="false" outlineLevel="0" collapsed="false">
      <c r="A2" s="11" t="s">
        <v>13</v>
      </c>
      <c r="B2" s="11" t="n">
        <f aca="false">COUNTIFS('50 Products'!$C$2:$C$51,$A2)</f>
        <v>6</v>
      </c>
      <c r="C2" s="11" t="n">
        <f aca="false">COUNTIFS('50 Products'!$C$2:$C$51,$A2,'50 Products'!$G$2:$G$51,"catalogue")</f>
        <v>0</v>
      </c>
      <c r="D2" s="11" t="n">
        <f aca="false">COUNTIFS('50 Products'!$C$2:$C$51,$A2,'50 Products'!$G$2:$G$51,"new SKU")</f>
        <v>5</v>
      </c>
      <c r="E2" s="11" t="n">
        <f aca="false">COUNTIFS('50 Products'!$C$2:$C$51,$A2,'50 Products'!$G$2:$G$51,"stretch")</f>
        <v>1</v>
      </c>
      <c r="F2" s="12" t="n">
        <f aca="false">_xlfn.MINIFS('50 Products'!$K$2:$K$51,'50 Products'!$C$2:$C$51,$A2)</f>
        <v>399</v>
      </c>
      <c r="G2" s="12" t="n">
        <f aca="false">_xlfn.MAXIFS('50 Products'!$L$2:$L$51,'50 Products'!$C$2:$C$51,$A2)</f>
        <v>16999</v>
      </c>
      <c r="H2" s="12" t="n">
        <f aca="false">AVERAGEIFS('50 Products'!$K$2:$K$51,'50 Products'!$C$2:$C$51,$A2)/2+AVERAGEIFS('50 Products'!$L$2:$L$51,'50 Products'!$C$2:$C$51,$A2)/2</f>
        <v>4140.66666666667</v>
      </c>
    </row>
    <row r="3" customFormat="false" ht="15" hidden="false" customHeight="false" outlineLevel="0" collapsed="false">
      <c r="A3" s="11" t="s">
        <v>72</v>
      </c>
      <c r="B3" s="11" t="n">
        <f aca="false">COUNTIFS('50 Products'!$C$2:$C$51,$A3)</f>
        <v>4</v>
      </c>
      <c r="C3" s="11" t="n">
        <f aca="false">COUNTIFS('50 Products'!$C$2:$C$51,$A3,'50 Products'!$G$2:$G$51,"catalogue")</f>
        <v>0</v>
      </c>
      <c r="D3" s="11" t="n">
        <f aca="false">COUNTIFS('50 Products'!$C$2:$C$51,$A3,'50 Products'!$G$2:$G$51,"new SKU")</f>
        <v>4</v>
      </c>
      <c r="E3" s="11" t="n">
        <f aca="false">COUNTIFS('50 Products'!$C$2:$C$51,$A3,'50 Products'!$G$2:$G$51,"stretch")</f>
        <v>0</v>
      </c>
      <c r="F3" s="12" t="n">
        <f aca="false">_xlfn.MINIFS('50 Products'!$K$2:$K$51,'50 Products'!$C$2:$C$51,$A3)</f>
        <v>899</v>
      </c>
      <c r="G3" s="12" t="n">
        <f aca="false">_xlfn.MAXIFS('50 Products'!$L$2:$L$51,'50 Products'!$C$2:$C$51,$A3)</f>
        <v>2999</v>
      </c>
      <c r="H3" s="12" t="n">
        <f aca="false">AVERAGEIFS('50 Products'!$K$2:$K$51,'50 Products'!$C$2:$C$51,$A3)/2+AVERAGEIFS('50 Products'!$L$2:$L$51,'50 Products'!$C$2:$C$51,$A3)/2</f>
        <v>1786.5</v>
      </c>
    </row>
    <row r="4" customFormat="false" ht="15" hidden="false" customHeight="false" outlineLevel="0" collapsed="false">
      <c r="A4" s="11" t="s">
        <v>52</v>
      </c>
      <c r="B4" s="11" t="n">
        <f aca="false">COUNTIFS('50 Products'!$C$2:$C$51,$A4)</f>
        <v>4</v>
      </c>
      <c r="C4" s="11" t="n">
        <f aca="false">COUNTIFS('50 Products'!$C$2:$C$51,$A4,'50 Products'!$G$2:$G$51,"catalogue")</f>
        <v>0</v>
      </c>
      <c r="D4" s="11" t="n">
        <f aca="false">COUNTIFS('50 Products'!$C$2:$C$51,$A4,'50 Products'!$G$2:$G$51,"new SKU")</f>
        <v>4</v>
      </c>
      <c r="E4" s="11" t="n">
        <f aca="false">COUNTIFS('50 Products'!$C$2:$C$51,$A4,'50 Products'!$G$2:$G$51,"stretch")</f>
        <v>0</v>
      </c>
      <c r="F4" s="12" t="n">
        <f aca="false">_xlfn.MINIFS('50 Products'!$K$2:$K$51,'50 Products'!$C$2:$C$51,$A4)</f>
        <v>599</v>
      </c>
      <c r="G4" s="12" t="n">
        <f aca="false">_xlfn.MAXIFS('50 Products'!$L$2:$L$51,'50 Products'!$C$2:$C$51,$A4)</f>
        <v>1999</v>
      </c>
      <c r="H4" s="12" t="n">
        <f aca="false">AVERAGEIFS('50 Products'!$K$2:$K$51,'50 Products'!$C$2:$C$51,$A4)/2+AVERAGEIFS('50 Products'!$L$2:$L$51,'50 Products'!$C$2:$C$51,$A4)/2</f>
        <v>1261.5</v>
      </c>
    </row>
    <row r="5" customFormat="false" ht="15" hidden="false" customHeight="false" outlineLevel="0" collapsed="false">
      <c r="A5" s="11" t="s">
        <v>22</v>
      </c>
      <c r="B5" s="11" t="n">
        <f aca="false">COUNTIFS('50 Products'!$C$2:$C$51,$A5)</f>
        <v>6</v>
      </c>
      <c r="C5" s="11" t="n">
        <f aca="false">COUNTIFS('50 Products'!$C$2:$C$51,$A5,'50 Products'!$G$2:$G$51,"catalogue")</f>
        <v>5</v>
      </c>
      <c r="D5" s="11" t="n">
        <f aca="false">COUNTIFS('50 Products'!$C$2:$C$51,$A5,'50 Products'!$G$2:$G$51,"new SKU")</f>
        <v>1</v>
      </c>
      <c r="E5" s="11" t="n">
        <f aca="false">COUNTIFS('50 Products'!$C$2:$C$51,$A5,'50 Products'!$G$2:$G$51,"stretch")</f>
        <v>0</v>
      </c>
      <c r="F5" s="12" t="n">
        <f aca="false">_xlfn.MINIFS('50 Products'!$K$2:$K$51,'50 Products'!$C$2:$C$51,$A5)</f>
        <v>699</v>
      </c>
      <c r="G5" s="12" t="n">
        <f aca="false">_xlfn.MAXIFS('50 Products'!$L$2:$L$51,'50 Products'!$C$2:$C$51,$A5)</f>
        <v>11900</v>
      </c>
      <c r="H5" s="12" t="n">
        <f aca="false">AVERAGEIFS('50 Products'!$K$2:$K$51,'50 Products'!$C$2:$C$51,$A5)/2+AVERAGEIFS('50 Products'!$L$2:$L$51,'50 Products'!$C$2:$C$51,$A5)/2</f>
        <v>7794.83333333333</v>
      </c>
    </row>
    <row r="6" customFormat="false" ht="15" hidden="false" customHeight="false" outlineLevel="0" collapsed="false">
      <c r="A6" s="11" t="s">
        <v>37</v>
      </c>
      <c r="B6" s="11" t="n">
        <f aca="false">COUNTIFS('50 Products'!$C$2:$C$51,$A6)</f>
        <v>5</v>
      </c>
      <c r="C6" s="11" t="n">
        <f aca="false">COUNTIFS('50 Products'!$C$2:$C$51,$A6,'50 Products'!$G$2:$G$51,"catalogue")</f>
        <v>4</v>
      </c>
      <c r="D6" s="11" t="n">
        <f aca="false">COUNTIFS('50 Products'!$C$2:$C$51,$A6,'50 Products'!$G$2:$G$51,"new SKU")</f>
        <v>1</v>
      </c>
      <c r="E6" s="11" t="n">
        <f aca="false">COUNTIFS('50 Products'!$C$2:$C$51,$A6,'50 Products'!$G$2:$G$51,"stretch")</f>
        <v>0</v>
      </c>
      <c r="F6" s="12" t="n">
        <f aca="false">_xlfn.MINIFS('50 Products'!$K$2:$K$51,'50 Products'!$C$2:$C$51,$A6)</f>
        <v>4790</v>
      </c>
      <c r="G6" s="12" t="n">
        <f aca="false">_xlfn.MAXIFS('50 Products'!$L$2:$L$51,'50 Products'!$C$2:$C$51,$A6)</f>
        <v>7900</v>
      </c>
      <c r="H6" s="12" t="n">
        <f aca="false">AVERAGEIFS('50 Products'!$K$2:$K$51,'50 Products'!$C$2:$C$51,$A6)/2+AVERAGEIFS('50 Products'!$L$2:$L$51,'50 Products'!$C$2:$C$51,$A6)/2</f>
        <v>6093</v>
      </c>
    </row>
    <row r="7" customFormat="false" ht="15" hidden="false" customHeight="false" outlineLevel="0" collapsed="false">
      <c r="A7" s="11" t="s">
        <v>45</v>
      </c>
      <c r="B7" s="11" t="n">
        <f aca="false">COUNTIFS('50 Products'!$C$2:$C$51,$A7)</f>
        <v>6</v>
      </c>
      <c r="C7" s="11" t="n">
        <f aca="false">COUNTIFS('50 Products'!$C$2:$C$51,$A7,'50 Products'!$G$2:$G$51,"catalogue")</f>
        <v>4</v>
      </c>
      <c r="D7" s="11" t="n">
        <f aca="false">COUNTIFS('50 Products'!$C$2:$C$51,$A7,'50 Products'!$G$2:$G$51,"new SKU")</f>
        <v>2</v>
      </c>
      <c r="E7" s="11" t="n">
        <f aca="false">COUNTIFS('50 Products'!$C$2:$C$51,$A7,'50 Products'!$G$2:$G$51,"stretch")</f>
        <v>0</v>
      </c>
      <c r="F7" s="12" t="n">
        <f aca="false">_xlfn.MINIFS('50 Products'!$K$2:$K$51,'50 Products'!$C$2:$C$51,$A7)</f>
        <v>299</v>
      </c>
      <c r="G7" s="12" t="n">
        <f aca="false">_xlfn.MAXIFS('50 Products'!$L$2:$L$51,'50 Products'!$C$2:$C$51,$A7)</f>
        <v>5290</v>
      </c>
      <c r="H7" s="12" t="n">
        <f aca="false">AVERAGEIFS('50 Products'!$K$2:$K$51,'50 Products'!$C$2:$C$51,$A7)/2+AVERAGEIFS('50 Products'!$L$2:$L$51,'50 Products'!$C$2:$C$51,$A7)/2</f>
        <v>2288.83333333333</v>
      </c>
    </row>
    <row r="8" customFormat="false" ht="15" hidden="false" customHeight="false" outlineLevel="0" collapsed="false">
      <c r="A8" s="11" t="s">
        <v>210</v>
      </c>
      <c r="B8" s="11" t="n">
        <f aca="false">COUNTIFS('50 Products'!$C$2:$C$51,$A8)</f>
        <v>4</v>
      </c>
      <c r="C8" s="11" t="n">
        <f aca="false">COUNTIFS('50 Products'!$C$2:$C$51,$A8,'50 Products'!$G$2:$G$51,"catalogue")</f>
        <v>3</v>
      </c>
      <c r="D8" s="11" t="n">
        <f aca="false">COUNTIFS('50 Products'!$C$2:$C$51,$A8,'50 Products'!$G$2:$G$51,"new SKU")</f>
        <v>1</v>
      </c>
      <c r="E8" s="11" t="n">
        <f aca="false">COUNTIFS('50 Products'!$C$2:$C$51,$A8,'50 Products'!$G$2:$G$51,"stretch")</f>
        <v>0</v>
      </c>
      <c r="F8" s="12" t="n">
        <f aca="false">_xlfn.MINIFS('50 Products'!$K$2:$K$51,'50 Products'!$C$2:$C$51,$A8)</f>
        <v>1999</v>
      </c>
      <c r="G8" s="12" t="n">
        <f aca="false">_xlfn.MAXIFS('50 Products'!$L$2:$L$51,'50 Products'!$C$2:$C$51,$A8)</f>
        <v>3590</v>
      </c>
      <c r="H8" s="12" t="n">
        <f aca="false">AVERAGEIFS('50 Products'!$K$2:$K$51,'50 Products'!$C$2:$C$51,$A8)/2+AVERAGEIFS('50 Products'!$L$2:$L$51,'50 Products'!$C$2:$C$51,$A8)/2</f>
        <v>2767.25</v>
      </c>
    </row>
    <row r="9" customFormat="false" ht="15" hidden="false" customHeight="false" outlineLevel="0" collapsed="false">
      <c r="A9" s="11" t="s">
        <v>233</v>
      </c>
      <c r="B9" s="11" t="n">
        <f aca="false">COUNTIFS('50 Products'!$C$2:$C$51,$A9)</f>
        <v>5</v>
      </c>
      <c r="C9" s="11" t="n">
        <f aca="false">COUNTIFS('50 Products'!$C$2:$C$51,$A9,'50 Products'!$G$2:$G$51,"catalogue")</f>
        <v>5</v>
      </c>
      <c r="D9" s="11" t="n">
        <f aca="false">COUNTIFS('50 Products'!$C$2:$C$51,$A9,'50 Products'!$G$2:$G$51,"new SKU")</f>
        <v>0</v>
      </c>
      <c r="E9" s="11" t="n">
        <f aca="false">COUNTIFS('50 Products'!$C$2:$C$51,$A9,'50 Products'!$G$2:$G$51,"stretch")</f>
        <v>0</v>
      </c>
      <c r="F9" s="12" t="n">
        <f aca="false">_xlfn.MINIFS('50 Products'!$K$2:$K$51,'50 Products'!$C$2:$C$51,$A9)</f>
        <v>2990</v>
      </c>
      <c r="G9" s="12" t="n">
        <f aca="false">_xlfn.MAXIFS('50 Products'!$L$2:$L$51,'50 Products'!$C$2:$C$51,$A9)</f>
        <v>16900</v>
      </c>
      <c r="H9" s="12" t="n">
        <f aca="false">AVERAGEIFS('50 Products'!$K$2:$K$51,'50 Products'!$C$2:$C$51,$A9)/2+AVERAGEIFS('50 Products'!$L$2:$L$51,'50 Products'!$C$2:$C$51,$A9)/2</f>
        <v>8836</v>
      </c>
    </row>
    <row r="10" customFormat="false" ht="15" hidden="false" customHeight="false" outlineLevel="0" collapsed="false">
      <c r="A10" s="11" t="s">
        <v>79</v>
      </c>
      <c r="B10" s="11" t="n">
        <f aca="false">COUNTIFS('50 Products'!$C$2:$C$51,$A10)</f>
        <v>3</v>
      </c>
      <c r="C10" s="11" t="n">
        <f aca="false">COUNTIFS('50 Products'!$C$2:$C$51,$A10,'50 Products'!$G$2:$G$51,"catalogue")</f>
        <v>3</v>
      </c>
      <c r="D10" s="11" t="n">
        <f aca="false">COUNTIFS('50 Products'!$C$2:$C$51,$A10,'50 Products'!$G$2:$G$51,"new SKU")</f>
        <v>0</v>
      </c>
      <c r="E10" s="11" t="n">
        <f aca="false">COUNTIFS('50 Products'!$C$2:$C$51,$A10,'50 Products'!$G$2:$G$51,"stretch")</f>
        <v>0</v>
      </c>
      <c r="F10" s="12" t="n">
        <f aca="false">_xlfn.MINIFS('50 Products'!$K$2:$K$51,'50 Products'!$C$2:$C$51,$A10)</f>
        <v>1090</v>
      </c>
      <c r="G10" s="12" t="n">
        <f aca="false">_xlfn.MAXIFS('50 Products'!$L$2:$L$51,'50 Products'!$C$2:$C$51,$A10)</f>
        <v>7290</v>
      </c>
      <c r="H10" s="12" t="n">
        <f aca="false">AVERAGEIFS('50 Products'!$K$2:$K$51,'50 Products'!$C$2:$C$51,$A10)/2+AVERAGEIFS('50 Products'!$L$2:$L$51,'50 Products'!$C$2:$C$51,$A10)/2</f>
        <v>3790</v>
      </c>
    </row>
    <row r="11" customFormat="false" ht="15" hidden="false" customHeight="false" outlineLevel="0" collapsed="false">
      <c r="A11" s="11" t="s">
        <v>272</v>
      </c>
      <c r="B11" s="11" t="n">
        <f aca="false">COUNTIFS('50 Products'!$C$2:$C$51,$A11)</f>
        <v>3</v>
      </c>
      <c r="C11" s="11" t="n">
        <f aca="false">COUNTIFS('50 Products'!$C$2:$C$51,$A11,'50 Products'!$G$2:$G$51,"catalogue")</f>
        <v>3</v>
      </c>
      <c r="D11" s="11" t="n">
        <f aca="false">COUNTIFS('50 Products'!$C$2:$C$51,$A11,'50 Products'!$G$2:$G$51,"new SKU")</f>
        <v>0</v>
      </c>
      <c r="E11" s="11" t="n">
        <f aca="false">COUNTIFS('50 Products'!$C$2:$C$51,$A11,'50 Products'!$G$2:$G$51,"stretch")</f>
        <v>0</v>
      </c>
      <c r="F11" s="12" t="n">
        <f aca="false">_xlfn.MINIFS('50 Products'!$K$2:$K$51,'50 Products'!$C$2:$C$51,$A11)</f>
        <v>3690</v>
      </c>
      <c r="G11" s="12" t="n">
        <f aca="false">_xlfn.MAXIFS('50 Products'!$L$2:$L$51,'50 Products'!$C$2:$C$51,$A11)</f>
        <v>9790</v>
      </c>
      <c r="H11" s="12" t="n">
        <f aca="false">AVERAGEIFS('50 Products'!$K$2:$K$51,'50 Products'!$C$2:$C$51,$A11)/2+AVERAGEIFS('50 Products'!$L$2:$L$51,'50 Products'!$C$2:$C$51,$A11)/2</f>
        <v>6056.66666666667</v>
      </c>
    </row>
    <row r="12" customFormat="false" ht="15" hidden="false" customHeight="false" outlineLevel="0" collapsed="false">
      <c r="A12" s="11" t="s">
        <v>59</v>
      </c>
      <c r="B12" s="11" t="n">
        <f aca="false">COUNTIFS('50 Products'!$C$2:$C$51,$A12)</f>
        <v>4</v>
      </c>
      <c r="C12" s="11" t="n">
        <f aca="false">COUNTIFS('50 Products'!$C$2:$C$51,$A12,'50 Products'!$G$2:$G$51,"catalogue")</f>
        <v>0</v>
      </c>
      <c r="D12" s="11" t="n">
        <f aca="false">COUNTIFS('50 Products'!$C$2:$C$51,$A12,'50 Products'!$G$2:$G$51,"new SKU")</f>
        <v>3</v>
      </c>
      <c r="E12" s="11" t="n">
        <f aca="false">COUNTIFS('50 Products'!$C$2:$C$51,$A12,'50 Products'!$G$2:$G$51,"stretch")</f>
        <v>1</v>
      </c>
      <c r="F12" s="12" t="n">
        <f aca="false">_xlfn.MINIFS('50 Products'!$K$2:$K$51,'50 Products'!$C$2:$C$51,$A12)</f>
        <v>799</v>
      </c>
      <c r="G12" s="12" t="n">
        <f aca="false">_xlfn.MAXIFS('50 Products'!$L$2:$L$51,'50 Products'!$C$2:$C$51,$A12)</f>
        <v>9999</v>
      </c>
      <c r="H12" s="12" t="n">
        <f aca="false">AVERAGEIFS('50 Products'!$K$2:$K$51,'50 Products'!$C$2:$C$51,$A12)/2+AVERAGEIFS('50 Products'!$L$2:$L$51,'50 Products'!$C$2:$C$51,$A12)/2</f>
        <v>5349</v>
      </c>
    </row>
    <row r="13" customFormat="false" ht="15" hidden="false" customHeight="false" outlineLevel="0" collapsed="false">
      <c r="A13" s="13" t="s">
        <v>330</v>
      </c>
      <c r="B13" s="13" t="n">
        <f aca="false">SUM(B2:B12)</f>
        <v>50</v>
      </c>
      <c r="C13" s="13" t="n">
        <f aca="false">SUM(C2:C12)</f>
        <v>27</v>
      </c>
      <c r="D13" s="13" t="n">
        <f aca="false">SUM(D2:D12)</f>
        <v>21</v>
      </c>
      <c r="E13" s="13" t="n">
        <f aca="false">SUM(E2:E12)</f>
        <v>2</v>
      </c>
      <c r="F13" s="14" t="n">
        <f aca="false">MIN(F2:F12)</f>
        <v>299</v>
      </c>
      <c r="G13" s="14" t="n">
        <f aca="false">MAX(G2:G12)</f>
        <v>16999</v>
      </c>
      <c r="H13" s="14"/>
    </row>
    <row r="15" customFormat="false" ht="15" hidden="false" customHeight="false" outlineLevel="0" collapsed="false">
      <c r="A15" s="15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6" t="s">
        <v>332</v>
      </c>
    </row>
    <row r="3" customFormat="false" ht="15" hidden="false" customHeight="false" outlineLevel="0" collapsed="false">
      <c r="A3" s="6" t="s">
        <v>333</v>
      </c>
    </row>
    <row r="4" customFormat="false" ht="45" hidden="false" customHeight="true" outlineLevel="0" collapsed="false">
      <c r="A4" s="17" t="s">
        <v>334</v>
      </c>
    </row>
    <row r="6" customFormat="false" ht="15" hidden="false" customHeight="false" outlineLevel="0" collapsed="false">
      <c r="A6" s="6" t="s">
        <v>335</v>
      </c>
    </row>
    <row r="7" customFormat="false" ht="45" hidden="false" customHeight="true" outlineLevel="0" collapsed="false">
      <c r="A7" s="17" t="s">
        <v>336</v>
      </c>
    </row>
    <row r="9" customFormat="false" ht="15" hidden="false" customHeight="false" outlineLevel="0" collapsed="false">
      <c r="A9" s="6" t="s">
        <v>337</v>
      </c>
    </row>
    <row r="10" customFormat="false" ht="45" hidden="false" customHeight="true" outlineLevel="0" collapsed="false">
      <c r="A10" s="17" t="s">
        <v>338</v>
      </c>
    </row>
    <row r="12" customFormat="false" ht="15" hidden="false" customHeight="false" outlineLevel="0" collapsed="false">
      <c r="A12" s="6" t="s">
        <v>339</v>
      </c>
    </row>
    <row r="13" customFormat="false" ht="45" hidden="false" customHeight="true" outlineLevel="0" collapsed="false">
      <c r="A13" s="17" t="s">
        <v>340</v>
      </c>
    </row>
    <row r="15" customFormat="false" ht="15" hidden="false" customHeight="false" outlineLevel="0" collapsed="false">
      <c r="A15" s="6" t="s">
        <v>341</v>
      </c>
    </row>
    <row r="16" customFormat="false" ht="45" hidden="false" customHeight="true" outlineLevel="0" collapsed="false">
      <c r="A16" s="17" t="s">
        <v>342</v>
      </c>
    </row>
    <row r="18" customFormat="false" ht="15" hidden="false" customHeight="false" outlineLevel="0" collapsed="false">
      <c r="A18" s="6" t="s">
        <v>343</v>
      </c>
    </row>
    <row r="19" customFormat="false" ht="45" hidden="false" customHeight="true" outlineLevel="0" collapsed="false">
      <c r="A19" s="17" t="s">
        <v>344</v>
      </c>
    </row>
    <row r="21" customFormat="false" ht="15" hidden="false" customHeight="false" outlineLevel="0" collapsed="false">
      <c r="A21" s="6" t="s">
        <v>345</v>
      </c>
    </row>
    <row r="22" customFormat="false" ht="45" hidden="false" customHeight="true" outlineLevel="0" collapsed="false">
      <c r="A22" s="17" t="s">
        <v>346</v>
      </c>
    </row>
    <row r="24" customFormat="false" ht="15" hidden="false" customHeight="false" outlineLevel="0" collapsed="false">
      <c r="A24" s="6" t="s">
        <v>347</v>
      </c>
    </row>
    <row r="25" customFormat="false" ht="45" hidden="false" customHeight="true" outlineLevel="0" collapsed="false">
      <c r="A25" s="17" t="s">
        <v>348</v>
      </c>
    </row>
    <row r="27" customFormat="false" ht="15" hidden="false" customHeight="false" outlineLevel="0" collapsed="false">
      <c r="A27" s="6" t="s">
        <v>349</v>
      </c>
    </row>
    <row r="28" customFormat="false" ht="45" hidden="false" customHeight="true" outlineLevel="0" collapsed="false">
      <c r="A28" s="17" t="s">
        <v>350</v>
      </c>
    </row>
    <row r="30" customFormat="false" ht="15" hidden="false" customHeight="false" outlineLevel="0" collapsed="false">
      <c r="A30" s="6" t="s">
        <v>351</v>
      </c>
    </row>
    <row r="31" customFormat="false" ht="45" hidden="false" customHeight="true" outlineLevel="0" collapsed="false">
      <c r="A31" s="17" t="s">
        <v>352</v>
      </c>
    </row>
    <row r="33" customFormat="false" ht="15" hidden="false" customHeight="false" outlineLevel="0" collapsed="false">
      <c r="A33" s="6" t="s">
        <v>353</v>
      </c>
    </row>
    <row r="34" customFormat="false" ht="45" hidden="false" customHeight="true" outlineLevel="0" collapsed="false">
      <c r="A34" s="17" t="s">
        <v>354</v>
      </c>
    </row>
    <row r="36" customFormat="false" ht="15" hidden="false" customHeight="false" outlineLevel="0" collapsed="false">
      <c r="A36" s="6" t="s">
        <v>355</v>
      </c>
    </row>
    <row r="37" customFormat="false" ht="45" hidden="false" customHeight="true" outlineLevel="0" collapsed="false">
      <c r="A37" s="17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2026-10-06T10:24:38Z</dcterms:created>
  <dc:creator>openpyxl</dc:creator>
  <dc:description/>
  <dc:language>en-US</dc:language>
  <cp:lastModifiedBy/>
  <dcterms:modified xsi:type="dcterms:W3CDTF">2026-10-06T10:24:38Z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